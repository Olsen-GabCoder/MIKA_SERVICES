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llogo\Desktop\PROJETS MIKA\PROJET AMENAGEMENT VOIE BEL AIR\PROJET BEL AIR\"/>
    </mc:Choice>
  </mc:AlternateContent>
  <xr:revisionPtr revIDLastSave="0" documentId="13_ncr:1_{B88C05F4-BB1A-4E89-8107-F2F08E61128A}" xr6:coauthVersionLast="47" xr6:coauthVersionMax="47" xr10:uidLastSave="{00000000-0000-0000-0000-000000000000}"/>
  <bookViews>
    <workbookView xWindow="-108" yWindow="-108" windowWidth="23256" windowHeight="13896" xr2:uid="{2778C58F-60B2-466A-8350-0114715EE04A}"/>
  </bookViews>
  <sheets>
    <sheet name="DQE révisé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" i="1" l="1"/>
  <c r="G135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10" i="1"/>
  <c r="A132" i="1"/>
  <c r="D121" i="1"/>
  <c r="E105" i="1"/>
  <c r="G105" i="1" s="1"/>
  <c r="E104" i="1"/>
  <c r="G104" i="1" s="1"/>
  <c r="E103" i="1"/>
  <c r="G103" i="1" s="1"/>
  <c r="E102" i="1"/>
  <c r="G102" i="1" s="1"/>
  <c r="E101" i="1"/>
  <c r="G101" i="1" s="1"/>
  <c r="G97" i="1"/>
  <c r="E90" i="1"/>
  <c r="E89" i="1"/>
  <c r="E94" i="1" s="1"/>
  <c r="E95" i="1" s="1"/>
  <c r="E86" i="1"/>
  <c r="E87" i="1" s="1"/>
  <c r="D88" i="1" s="1"/>
  <c r="G85" i="1"/>
  <c r="E83" i="1"/>
  <c r="E84" i="1" s="1"/>
  <c r="E82" i="1"/>
  <c r="E76" i="1"/>
  <c r="E77" i="1" s="1"/>
  <c r="E73" i="1"/>
  <c r="E71" i="1"/>
  <c r="G71" i="1" s="1"/>
  <c r="G70" i="1"/>
  <c r="E68" i="1"/>
  <c r="E69" i="1" s="1"/>
  <c r="E67" i="1"/>
  <c r="E59" i="1"/>
  <c r="E63" i="1" s="1"/>
  <c r="D64" i="1" s="1"/>
  <c r="D69" i="1" s="1"/>
  <c r="E58" i="1"/>
  <c r="G58" i="1" s="1"/>
  <c r="E57" i="1"/>
  <c r="G57" i="1" s="1"/>
  <c r="G53" i="1"/>
  <c r="G52" i="1"/>
  <c r="G51" i="1"/>
  <c r="G50" i="1"/>
  <c r="G49" i="1"/>
  <c r="G47" i="1"/>
  <c r="G45" i="1"/>
  <c r="G44" i="1"/>
  <c r="D43" i="1"/>
  <c r="G43" i="1" s="1"/>
  <c r="G42" i="1"/>
  <c r="G41" i="1"/>
  <c r="G40" i="1"/>
  <c r="E39" i="1"/>
  <c r="G39" i="1" s="1"/>
  <c r="G38" i="1"/>
  <c r="A37" i="1"/>
  <c r="G36" i="1"/>
  <c r="G35" i="1"/>
  <c r="E34" i="1"/>
  <c r="G34" i="1" s="1"/>
  <c r="E33" i="1"/>
  <c r="G33" i="1" s="1"/>
  <c r="G32" i="1"/>
  <c r="G31" i="1"/>
  <c r="D30" i="1"/>
  <c r="G30" i="1" s="1"/>
  <c r="G29" i="1"/>
  <c r="E28" i="1"/>
  <c r="D28" i="1"/>
  <c r="E27" i="1"/>
  <c r="D27" i="1"/>
  <c r="D26" i="1"/>
  <c r="G26" i="1" s="1"/>
  <c r="D25" i="1"/>
  <c r="G25" i="1" s="1"/>
  <c r="D24" i="1"/>
  <c r="G24" i="1" s="1"/>
  <c r="G23" i="1"/>
  <c r="E22" i="1"/>
  <c r="D22" i="1"/>
  <c r="G21" i="1"/>
  <c r="E20" i="1"/>
  <c r="D20" i="1"/>
  <c r="D19" i="1"/>
  <c r="G19" i="1" s="1"/>
  <c r="G18" i="1"/>
  <c r="D17" i="1"/>
  <c r="G17" i="1" s="1"/>
  <c r="E16" i="1"/>
  <c r="G16" i="1" s="1"/>
  <c r="G15" i="1"/>
  <c r="E78" i="1" l="1"/>
  <c r="D79" i="1" s="1"/>
  <c r="D81" i="1" s="1"/>
  <c r="G81" i="1" s="1"/>
  <c r="G136" i="1"/>
  <c r="D46" i="1"/>
  <c r="G46" i="1" s="1"/>
  <c r="G54" i="1"/>
  <c r="G28" i="1"/>
  <c r="E92" i="1"/>
  <c r="G92" i="1" s="1"/>
  <c r="G69" i="1"/>
  <c r="G106" i="1"/>
  <c r="G22" i="1"/>
  <c r="D91" i="1"/>
  <c r="G91" i="1" s="1"/>
  <c r="D96" i="1"/>
  <c r="G96" i="1" s="1"/>
  <c r="D90" i="1"/>
  <c r="G90" i="1" s="1"/>
  <c r="D89" i="1"/>
  <c r="G89" i="1" s="1"/>
  <c r="D94" i="1"/>
  <c r="G94" i="1" s="1"/>
  <c r="G88" i="1"/>
  <c r="D95" i="1"/>
  <c r="G95" i="1" s="1"/>
  <c r="D93" i="1"/>
  <c r="G93" i="1" s="1"/>
  <c r="D92" i="1"/>
  <c r="G86" i="1"/>
  <c r="G98" i="1" s="1"/>
  <c r="G27" i="1"/>
  <c r="G20" i="1"/>
  <c r="D67" i="1"/>
  <c r="G67" i="1" s="1"/>
  <c r="D66" i="1"/>
  <c r="G66" i="1" s="1"/>
  <c r="D65" i="1"/>
  <c r="G65" i="1" s="1"/>
  <c r="G64" i="1"/>
  <c r="E62" i="1"/>
  <c r="D68" i="1"/>
  <c r="G68" i="1" s="1"/>
  <c r="D80" i="1" l="1"/>
  <c r="G80" i="1" s="1"/>
  <c r="G79" i="1"/>
  <c r="D82" i="1"/>
  <c r="G82" i="1" s="1"/>
  <c r="D83" i="1"/>
  <c r="G83" i="1" s="1"/>
  <c r="D84" i="1"/>
  <c r="G84" i="1" s="1"/>
  <c r="G139" i="1"/>
  <c r="G138" i="1" l="1"/>
  <c r="G1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Gabriel-Arnaud ONDO</author>
  </authors>
  <commentList>
    <comment ref="F40" authorId="0" shapeId="0" xr:uid="{03E1EC87-A0C4-4435-9D4B-AE8A8EBEE0A7}">
      <text>
        <r>
          <rPr>
            <b/>
            <sz val="9"/>
            <color indexed="81"/>
            <rFont val="Tahoma"/>
            <family val="2"/>
          </rPr>
          <t>Gabriel-Arnaud ONDO:</t>
        </r>
        <r>
          <rPr>
            <sz val="9"/>
            <color indexed="81"/>
            <rFont val="Tahoma"/>
            <family val="2"/>
          </rPr>
          <t xml:space="preserve">
30% de notre effort maxi à soutraiter</t>
        </r>
      </text>
    </comment>
    <comment ref="F43" authorId="0" shapeId="0" xr:uid="{5A1BEE65-1706-439F-8F1A-EC0EF7B598FE}">
      <text>
        <r>
          <rPr>
            <b/>
            <sz val="9"/>
            <color indexed="81"/>
            <rFont val="Tahoma"/>
            <family val="2"/>
          </rPr>
          <t>Gabriel-Arnaud ONDO:</t>
        </r>
        <r>
          <rPr>
            <sz val="9"/>
            <color indexed="81"/>
            <rFont val="Tahoma"/>
            <family val="2"/>
          </rPr>
          <t xml:space="preserve">
1 chef de brigade
2 opérateurs
3HTM</t>
        </r>
      </text>
    </comment>
    <comment ref="E46" authorId="0" shapeId="0" xr:uid="{3C6A59EC-5C68-4796-B77E-91848672D245}">
      <text>
        <r>
          <rPr>
            <b/>
            <sz val="9"/>
            <color indexed="81"/>
            <rFont val="Tahoma"/>
            <family val="2"/>
          </rPr>
          <t>Gabriel-Arnaud ONDO:</t>
        </r>
        <r>
          <rPr>
            <sz val="9"/>
            <color indexed="81"/>
            <rFont val="Tahoma"/>
            <family val="2"/>
          </rPr>
          <t xml:space="preserve">
Contrôle aléatoire de 1 toupie sur 2</t>
        </r>
      </text>
    </comment>
  </commentList>
</comments>
</file>

<file path=xl/sharedStrings.xml><?xml version="1.0" encoding="utf-8"?>
<sst xmlns="http://schemas.openxmlformats.org/spreadsheetml/2006/main" count="248" uniqueCount="142">
  <si>
    <t>République Gabonaise</t>
  </si>
  <si>
    <t>Union - Travail - Justice</t>
  </si>
  <si>
    <t>DEVIS QUANTITATIF ESTIMATIF</t>
  </si>
  <si>
    <t>Aménagement voie Bel-Air</t>
  </si>
  <si>
    <r>
      <rPr>
        <b/>
        <u/>
        <sz val="12"/>
        <color theme="1"/>
        <rFont val="Century Gothic"/>
        <family val="2"/>
      </rPr>
      <t>Structure de chaussée :</t>
    </r>
    <r>
      <rPr>
        <sz val="12"/>
        <color theme="1"/>
        <rFont val="Century Gothic"/>
        <family val="2"/>
      </rPr>
      <t xml:space="preserve"> Graveleux latéritique GL0/25 ép 20cm en consolidation couche de forme + Fondation GNT 0/25 = 0,20m + Béton Armé Continu (BAC) épaisseur 0,15m en base-roulement + Assainissement</t>
    </r>
  </si>
  <si>
    <t>Linéaire BAC = 1260 ml + 175ml d'embranchement = 1435ml</t>
  </si>
  <si>
    <t>Devis n° GAO/PRZ/77/25/07/25          du          17/07/2025</t>
  </si>
  <si>
    <t>N° Prix</t>
  </si>
  <si>
    <t>Désignation</t>
  </si>
  <si>
    <t>Unités</t>
  </si>
  <si>
    <t>Nb</t>
  </si>
  <si>
    <t>Quantités</t>
  </si>
  <si>
    <t>Prix unitaire</t>
  </si>
  <si>
    <t>Prix total</t>
  </si>
  <si>
    <t>Chapitre 100 - Travaux Préparatoires</t>
  </si>
  <si>
    <t>Frais fixes</t>
  </si>
  <si>
    <t>FT</t>
  </si>
  <si>
    <t>101-1</t>
  </si>
  <si>
    <t>Installation de chantier - A/R personnel et matériel</t>
  </si>
  <si>
    <t>Rotations de PC</t>
  </si>
  <si>
    <t>u</t>
  </si>
  <si>
    <t>Convois/CESSION INTERNE</t>
  </si>
  <si>
    <t>Immobilisation conteneur bureaux et magasins (CESSION INTERNE) + enveloppe aménagement</t>
  </si>
  <si>
    <t>mois</t>
  </si>
  <si>
    <t>Immobilisation moyens de levages 10% durée chantier</t>
  </si>
  <si>
    <t>Immobilisation véhicule de servitude (CESSION interne 50%)</t>
  </si>
  <si>
    <t>Mobilier&amp; connexes</t>
  </si>
  <si>
    <t>env</t>
  </si>
  <si>
    <t>Electricité</t>
  </si>
  <si>
    <t>Consommables</t>
  </si>
  <si>
    <t>Transport/bus LLD (Prix CESSION INTERNE)</t>
  </si>
  <si>
    <t>telecom &amp; réseaux</t>
  </si>
  <si>
    <t>Panier &amp; divers / 20 pax</t>
  </si>
  <si>
    <t>immobilisations du dimanche / cible 10 pax sur 4 dim/mois</t>
  </si>
  <si>
    <t>Gardiennage du site</t>
  </si>
  <si>
    <t>Panneaux de chantier</t>
  </si>
  <si>
    <t xml:space="preserve">Commodités MDC &amp; coûts associés </t>
  </si>
  <si>
    <t>Enveloppe QHSE</t>
  </si>
  <si>
    <t>ING, QHE/résident 10%</t>
  </si>
  <si>
    <t>Panneaux TOUS TYPES</t>
  </si>
  <si>
    <t>U</t>
  </si>
  <si>
    <t>RUBALISES</t>
  </si>
  <si>
    <t>Etudes</t>
  </si>
  <si>
    <t>102;1</t>
  </si>
  <si>
    <t>Process documentaire</t>
  </si>
  <si>
    <t>ING, projet BE 10%</t>
  </si>
  <si>
    <t>Prestations diverses en assistance</t>
  </si>
  <si>
    <t>102;2</t>
  </si>
  <si>
    <t>Etudes topo</t>
  </si>
  <si>
    <t>Brigade topo</t>
  </si>
  <si>
    <t>102;3</t>
  </si>
  <si>
    <t>Etudes géotechniques</t>
  </si>
  <si>
    <t>essais (forfait à négocier en package avec études de sol)</t>
  </si>
  <si>
    <t>Points critiques résaux</t>
  </si>
  <si>
    <t xml:space="preserve">PL eau avec ensemble de compteurs à déplacer </t>
  </si>
  <si>
    <t xml:space="preserve">PL électricité avec ensemble de compteurs à déplacer </t>
  </si>
  <si>
    <t>Dépose, déplacement de candelabres (SEEG/MAGT…), toutes sujétions (hors HTA)</t>
  </si>
  <si>
    <t>Poteau électrique Haute Tensions (HTA) à déplacer</t>
  </si>
  <si>
    <t>Enveloppe des droits de passages</t>
  </si>
  <si>
    <t>m²</t>
  </si>
  <si>
    <t>Chapitre 200 - Terrassements</t>
  </si>
  <si>
    <t>Dépose des pavés existants</t>
  </si>
  <si>
    <t>Déblai rocheux entre pk0+750 et pk1+000 épaisseur moyenne de 40cm</t>
  </si>
  <si>
    <r>
      <t>m</t>
    </r>
    <r>
      <rPr>
        <vertAlign val="superscript"/>
        <sz val="10"/>
        <color theme="1"/>
        <rFont val="Century Gothic"/>
        <family val="2"/>
      </rPr>
      <t>3</t>
    </r>
  </si>
  <si>
    <t>Longueur</t>
  </si>
  <si>
    <t>ml</t>
  </si>
  <si>
    <t>largeur/emprise</t>
  </si>
  <si>
    <t>ep</t>
  </si>
  <si>
    <t>surface</t>
  </si>
  <si>
    <t>volume</t>
  </si>
  <si>
    <t>BRH (capacité de casser pour voyages/jour) 120m3/jour</t>
  </si>
  <si>
    <t>pelle ramassage</t>
  </si>
  <si>
    <t>camion benne + chauffeur + GO</t>
  </si>
  <si>
    <t>Gasoil engins</t>
  </si>
  <si>
    <t>lt</t>
  </si>
  <si>
    <t>Conducteur engins</t>
  </si>
  <si>
    <t>HTM</t>
  </si>
  <si>
    <t>Peignage des talus à 2/3 à parrtir du PK0+750 ht moyenne = 3,5m / L= 250ml + 104ml</t>
  </si>
  <si>
    <t>POUR 1ML</t>
  </si>
  <si>
    <t>LONG TOTALE</t>
  </si>
  <si>
    <t>2 POUR 3</t>
  </si>
  <si>
    <t>k</t>
  </si>
  <si>
    <t>OPP</t>
  </si>
  <si>
    <t>BASE</t>
  </si>
  <si>
    <t>surface/ml</t>
  </si>
  <si>
    <t>volumepour ramassage</t>
  </si>
  <si>
    <t>Rendement / 10v de 14m3/jr</t>
  </si>
  <si>
    <t>pelle talutage et ramassage</t>
  </si>
  <si>
    <t>Mise en forme de PST et compactage</t>
  </si>
  <si>
    <t>surface / 9,20ml d'emprise</t>
  </si>
  <si>
    <t>Niveleuse250ml/jour soit 1600m²</t>
  </si>
  <si>
    <t>Compacteur</t>
  </si>
  <si>
    <t>bull</t>
  </si>
  <si>
    <t>niveleuse</t>
  </si>
  <si>
    <t>Citerne arrosage + GO + chauffeur</t>
  </si>
  <si>
    <t>hr/jr</t>
  </si>
  <si>
    <t>Chapitre 300 - Chaussées - Trottoirs</t>
  </si>
  <si>
    <t>Rechargement en graveleux latéritique/forme + géotextile</t>
  </si>
  <si>
    <t>Couche de fondation chaussée en grave non traitée GNT 0/25 ep = 20cm</t>
  </si>
  <si>
    <t>Couche de base-roulement en béton armé continu type BAC et d'épaisseur 15cm</t>
  </si>
  <si>
    <t>Trottoir en béton de ciment de 10 cm d'ép. 1,4ml cumulé (0,4m en épaulement d'un côté et 1ml dans la continuité du caniveau circulable)</t>
  </si>
  <si>
    <t>Embranchement de voies (55ml &amp; 20ml &amp; 100ml)</t>
  </si>
  <si>
    <t>Chapitre 400 - Assainissement et Drainage</t>
  </si>
  <si>
    <t>Points citiques d'assainissements</t>
  </si>
  <si>
    <t>Création/prolongement d'exutoires en béton vers marécages en descente d'eaux calibrée suivant confinement de la zone (pk0+180)</t>
  </si>
  <si>
    <t>Création/prolongement d'exutoires en béton vers marécages en caniveaux de 80*80 et/ou ouvrage de débit similaire suivant confinement des zones (pk0+375 ; pk0+600 ; pk1260)</t>
  </si>
  <si>
    <t>Murs de soutènnements en béton armé, de hauteur moyenne = 3,5m/ht  --&gt;&gt;(104ml+115ml+132ml+72,6ml)</t>
  </si>
  <si>
    <t>Béton voiles (423,60*3,3*0,2)</t>
  </si>
  <si>
    <t>m3</t>
  </si>
  <si>
    <t>Béton radier (423,60*2*0,2)</t>
  </si>
  <si>
    <t>Aciers</t>
  </si>
  <si>
    <t>kg</t>
  </si>
  <si>
    <t>Fil recuit</t>
  </si>
  <si>
    <t>Surfaces voiles</t>
  </si>
  <si>
    <t>Contreplaqué 19mm (réutilisables 3 fois)</t>
  </si>
  <si>
    <t>Chevrons (1 piéce au ml x 2 faces)</t>
  </si>
  <si>
    <t>Pointes 250g/m²</t>
  </si>
  <si>
    <t>Etais = 1/m²/face (répercussion locative sur 40m3/jr)</t>
  </si>
  <si>
    <t>Flintkote</t>
  </si>
  <si>
    <t>Géotextile une face</t>
  </si>
  <si>
    <t>rlx</t>
  </si>
  <si>
    <t>MO ferraillage, coffrage, béton des murs</t>
  </si>
  <si>
    <t>BP ép 5cm</t>
  </si>
  <si>
    <t>GNT fond de fouilles ép 10cm</t>
  </si>
  <si>
    <t>tonne</t>
  </si>
  <si>
    <t>B20 épaisseur 5cm</t>
  </si>
  <si>
    <t>MO pour BP</t>
  </si>
  <si>
    <t>Travaux sur regards SEEG</t>
  </si>
  <si>
    <t>Fourniture et pose de bordures de type T2</t>
  </si>
  <si>
    <t>Fourniture et pose de Caniveaux 50x50</t>
  </si>
  <si>
    <t>Fourniture et pose de dallettes pour caniveaux 50x50</t>
  </si>
  <si>
    <t>ML</t>
  </si>
  <si>
    <t>Aménagements divers</t>
  </si>
  <si>
    <t>Fft</t>
  </si>
  <si>
    <t>TOTAL HT Projet</t>
  </si>
  <si>
    <t>TVA (18%)</t>
  </si>
  <si>
    <t>CSS 1%</t>
  </si>
  <si>
    <t xml:space="preserve">TOTAL TTC </t>
  </si>
  <si>
    <t>Patrice REVANGUE ZAVROSA</t>
  </si>
  <si>
    <t xml:space="preserve">Administrateur Directeur General </t>
  </si>
  <si>
    <t>OWENDO le, 18/03/2026</t>
  </si>
  <si>
    <r>
      <t xml:space="preserve">Arreté le présent devis à la somme </t>
    </r>
    <r>
      <rPr>
        <b/>
        <sz val="14"/>
        <rFont val="Century Gothic"/>
        <family val="2"/>
      </rPr>
      <t>TTC</t>
    </r>
    <r>
      <rPr>
        <b/>
        <sz val="10"/>
        <rFont val="Century Gothic"/>
        <family val="2"/>
      </rPr>
      <t xml:space="preserve"> ; </t>
    </r>
    <r>
      <rPr>
        <b/>
        <sz val="11"/>
        <rFont val="Century Gothic"/>
        <family val="2"/>
      </rPr>
      <t>Un milliard, huit-cent-vingt-huit millions, huit-cent-quatre milles, six-cent-quatre vingt-dix-neuf  francs CFA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</si>
</sst>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_€"/>
    <numFmt numFmtId="165" formatCode="_-* #,##0\ _€_-;\-* #,##0\ _€_-;_-* &quot;-&quot;??\ _€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u/>
      <sz val="11"/>
      <name val="Century Gothic"/>
      <family val="2"/>
    </font>
    <font>
      <b/>
      <u/>
      <sz val="14"/>
      <name val="Century Gothic"/>
      <family val="2"/>
    </font>
    <font>
      <b/>
      <sz val="8"/>
      <color theme="1"/>
      <name val="Century Gothic"/>
      <family val="2"/>
    </font>
    <font>
      <sz val="12"/>
      <color theme="1"/>
      <name val="Century Gothic"/>
      <family val="2"/>
    </font>
    <font>
      <b/>
      <u/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theme="0"/>
      <name val="Century Gothic"/>
      <family val="2"/>
    </font>
    <font>
      <sz val="9"/>
      <color theme="1"/>
      <name val="Century Gothic"/>
      <family val="2"/>
    </font>
    <font>
      <sz val="10"/>
      <name val="Century Gothic"/>
      <family val="2"/>
    </font>
    <font>
      <i/>
      <sz val="9"/>
      <name val="Century Gothic"/>
      <family val="2"/>
    </font>
    <font>
      <i/>
      <sz val="9"/>
      <color theme="1"/>
      <name val="Century Gothic"/>
      <family val="2"/>
    </font>
    <font>
      <b/>
      <i/>
      <sz val="9"/>
      <color rgb="FFFF0000"/>
      <name val="Century Gothic"/>
      <family val="2"/>
    </font>
    <font>
      <i/>
      <sz val="8"/>
      <name val="Century Gothic"/>
      <family val="2"/>
    </font>
    <font>
      <i/>
      <sz val="8"/>
      <color theme="1"/>
      <name val="Century Gothic"/>
      <family val="2"/>
    </font>
    <font>
      <sz val="9"/>
      <name val="Century Gothic"/>
      <family val="2"/>
    </font>
    <font>
      <i/>
      <sz val="8"/>
      <color rgb="FFFF0000"/>
      <name val="Century Gothic"/>
      <family val="2"/>
    </font>
    <font>
      <i/>
      <sz val="10"/>
      <name val="Century Gothic"/>
      <family val="2"/>
    </font>
    <font>
      <i/>
      <sz val="9"/>
      <color rgb="FFFF0000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b/>
      <i/>
      <sz val="10"/>
      <name val="Century Gothic"/>
      <family val="2"/>
    </font>
    <font>
      <sz val="9"/>
      <color theme="0"/>
      <name val="Century Gothic"/>
      <family val="2"/>
    </font>
    <font>
      <vertAlign val="superscript"/>
      <sz val="10"/>
      <color theme="1"/>
      <name val="Century Gothic"/>
      <family val="2"/>
    </font>
    <font>
      <i/>
      <sz val="9"/>
      <color theme="0"/>
      <name val="Century Gothic"/>
      <family val="2"/>
    </font>
    <font>
      <b/>
      <sz val="9"/>
      <color theme="1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8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75">
    <xf numFmtId="0" fontId="0" fillId="0" borderId="0" xfId="0"/>
    <xf numFmtId="0" fontId="2" fillId="0" borderId="0" xfId="3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15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2" fontId="17" fillId="0" borderId="12" xfId="0" applyNumberFormat="1" applyFont="1" applyBorder="1" applyAlignment="1">
      <alignment vertical="center" wrapText="1"/>
    </xf>
    <xf numFmtId="2" fontId="14" fillId="0" borderId="12" xfId="0" applyNumberFormat="1" applyFont="1" applyBorder="1" applyAlignment="1">
      <alignment vertical="center" wrapText="1"/>
    </xf>
    <xf numFmtId="164" fontId="14" fillId="0" borderId="12" xfId="0" applyNumberFormat="1" applyFont="1" applyBorder="1" applyAlignment="1">
      <alignment vertical="center" wrapText="1"/>
    </xf>
    <xf numFmtId="164" fontId="14" fillId="0" borderId="13" xfId="0" applyNumberFormat="1" applyFont="1" applyBorder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164" fontId="14" fillId="0" borderId="12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 wrapText="1" indent="4"/>
    </xf>
    <xf numFmtId="0" fontId="19" fillId="0" borderId="12" xfId="0" applyFont="1" applyBorder="1" applyAlignment="1">
      <alignment horizontal="left" vertical="center" wrapText="1" indent="1"/>
    </xf>
    <xf numFmtId="2" fontId="20" fillId="0" borderId="12" xfId="0" applyNumberFormat="1" applyFont="1" applyBorder="1" applyAlignment="1">
      <alignment horizontal="left" vertical="center" wrapText="1" indent="1"/>
    </xf>
    <xf numFmtId="2" fontId="20" fillId="0" borderId="12" xfId="0" applyNumberFormat="1" applyFont="1" applyBorder="1" applyAlignment="1">
      <alignment vertical="center" wrapText="1"/>
    </xf>
    <xf numFmtId="164" fontId="20" fillId="0" borderId="12" xfId="0" applyNumberFormat="1" applyFont="1" applyBorder="1" applyAlignment="1">
      <alignment vertical="center" wrapText="1"/>
    </xf>
    <xf numFmtId="164" fontId="20" fillId="0" borderId="13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9" fontId="20" fillId="0" borderId="12" xfId="2" applyFont="1" applyBorder="1" applyAlignment="1">
      <alignment vertical="center" wrapText="1"/>
    </xf>
    <xf numFmtId="2" fontId="21" fillId="0" borderId="12" xfId="0" applyNumberFormat="1" applyFont="1" applyBorder="1" applyAlignment="1">
      <alignment horizontal="left" vertical="center" wrapText="1" indent="1"/>
    </xf>
    <xf numFmtId="0" fontId="22" fillId="0" borderId="11" xfId="0" applyFont="1" applyBorder="1" applyAlignment="1">
      <alignment horizontal="left" vertical="center" wrapText="1" indent="1"/>
    </xf>
    <xf numFmtId="0" fontId="22" fillId="0" borderId="12" xfId="0" applyFont="1" applyBorder="1" applyAlignment="1">
      <alignment horizontal="left" vertical="center" wrapText="1" indent="8"/>
    </xf>
    <xf numFmtId="0" fontId="22" fillId="0" borderId="12" xfId="0" applyFont="1" applyBorder="1" applyAlignment="1">
      <alignment horizontal="left" vertical="center" wrapText="1" indent="1"/>
    </xf>
    <xf numFmtId="2" fontId="23" fillId="0" borderId="12" xfId="0" applyNumberFormat="1" applyFont="1" applyBorder="1" applyAlignment="1">
      <alignment horizontal="left" vertical="center" wrapText="1" indent="1"/>
    </xf>
    <xf numFmtId="2" fontId="23" fillId="0" borderId="12" xfId="0" applyNumberFormat="1" applyFont="1" applyBorder="1" applyAlignment="1">
      <alignment vertical="center" wrapText="1"/>
    </xf>
    <xf numFmtId="164" fontId="23" fillId="0" borderId="12" xfId="0" applyNumberFormat="1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indent="1"/>
    </xf>
    <xf numFmtId="2" fontId="24" fillId="0" borderId="12" xfId="0" applyNumberFormat="1" applyFont="1" applyBorder="1" applyAlignment="1">
      <alignment vertical="center" wrapText="1"/>
    </xf>
    <xf numFmtId="2" fontId="18" fillId="0" borderId="12" xfId="0" applyNumberFormat="1" applyFont="1" applyBorder="1" applyAlignment="1">
      <alignment vertical="center" wrapText="1"/>
    </xf>
    <xf numFmtId="164" fontId="18" fillId="0" borderId="12" xfId="1" applyNumberFormat="1" applyFont="1" applyBorder="1" applyAlignment="1">
      <alignment horizontal="center" vertical="center" wrapText="1"/>
    </xf>
    <xf numFmtId="164" fontId="18" fillId="0" borderId="13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" fontId="19" fillId="0" borderId="12" xfId="0" applyNumberFormat="1" applyFont="1" applyBorder="1" applyAlignment="1">
      <alignment horizontal="left" vertical="center" wrapText="1" indent="1"/>
    </xf>
    <xf numFmtId="2" fontId="19" fillId="0" borderId="12" xfId="0" applyNumberFormat="1" applyFont="1" applyBorder="1" applyAlignment="1">
      <alignment vertical="center" wrapText="1"/>
    </xf>
    <xf numFmtId="164" fontId="19" fillId="0" borderId="12" xfId="0" applyNumberFormat="1" applyFont="1" applyBorder="1" applyAlignment="1">
      <alignment vertical="center" wrapText="1"/>
    </xf>
    <xf numFmtId="164" fontId="19" fillId="0" borderId="13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25" fillId="0" borderId="11" xfId="0" applyFont="1" applyBorder="1" applyAlignment="1">
      <alignment horizontal="left" vertical="center" wrapText="1" indent="1"/>
    </xf>
    <xf numFmtId="0" fontId="25" fillId="0" borderId="12" xfId="0" applyFont="1" applyBorder="1" applyAlignment="1">
      <alignment horizontal="left" vertical="center" wrapText="1" indent="8"/>
    </xf>
    <xf numFmtId="0" fontId="25" fillId="0" borderId="12" xfId="0" applyFont="1" applyBorder="1" applyAlignment="1">
      <alignment horizontal="left" vertical="center" wrapText="1" indent="1"/>
    </xf>
    <xf numFmtId="2" fontId="25" fillId="0" borderId="12" xfId="0" applyNumberFormat="1" applyFont="1" applyBorder="1" applyAlignment="1">
      <alignment horizontal="left" vertical="center" wrapText="1" indent="1"/>
    </xf>
    <xf numFmtId="2" fontId="25" fillId="0" borderId="12" xfId="0" applyNumberFormat="1" applyFont="1" applyBorder="1" applyAlignment="1">
      <alignment vertical="center" wrapText="1"/>
    </xf>
    <xf numFmtId="164" fontId="25" fillId="0" borderId="12" xfId="0" applyNumberFormat="1" applyFont="1" applyBorder="1" applyAlignment="1">
      <alignment horizontal="left" vertical="center" wrapText="1" indent="1"/>
    </xf>
    <xf numFmtId="164" fontId="25" fillId="0" borderId="13" xfId="0" applyNumberFormat="1" applyFont="1" applyBorder="1" applyAlignment="1">
      <alignment vertical="center"/>
    </xf>
    <xf numFmtId="164" fontId="18" fillId="0" borderId="12" xfId="0" applyNumberFormat="1" applyFont="1" applyBorder="1" applyAlignment="1">
      <alignment vertical="center" wrapText="1"/>
    </xf>
    <xf numFmtId="0" fontId="24" fillId="0" borderId="11" xfId="0" applyFont="1" applyBorder="1" applyAlignment="1">
      <alignment horizontal="left" vertical="center" wrapText="1" indent="2"/>
    </xf>
    <xf numFmtId="0" fontId="18" fillId="0" borderId="12" xfId="0" applyFont="1" applyBorder="1" applyAlignment="1">
      <alignment horizontal="left" vertical="center" wrapText="1" indent="2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 indent="4"/>
    </xf>
    <xf numFmtId="0" fontId="26" fillId="0" borderId="12" xfId="0" applyFont="1" applyBorder="1" applyAlignment="1">
      <alignment horizontal="left" vertical="center" wrapText="1" indent="1"/>
    </xf>
    <xf numFmtId="2" fontId="26" fillId="0" borderId="12" xfId="0" applyNumberFormat="1" applyFont="1" applyBorder="1" applyAlignment="1">
      <alignment horizontal="left" vertical="center" wrapText="1" indent="1"/>
    </xf>
    <xf numFmtId="2" fontId="26" fillId="0" borderId="12" xfId="0" applyNumberFormat="1" applyFont="1" applyBorder="1" applyAlignment="1">
      <alignment vertical="center" wrapText="1"/>
    </xf>
    <xf numFmtId="164" fontId="26" fillId="0" borderId="12" xfId="0" applyNumberFormat="1" applyFont="1" applyBorder="1" applyAlignment="1">
      <alignment vertical="center" wrapText="1"/>
    </xf>
    <xf numFmtId="164" fontId="26" fillId="0" borderId="13" xfId="0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11" xfId="0" applyFont="1" applyBorder="1" applyAlignment="1">
      <alignment horizontal="left" vertical="center" wrapText="1" indent="1"/>
    </xf>
    <xf numFmtId="2" fontId="28" fillId="0" borderId="12" xfId="0" applyNumberFormat="1" applyFont="1" applyBorder="1" applyAlignment="1">
      <alignment horizontal="left" vertical="center" wrapText="1" indent="1"/>
    </xf>
    <xf numFmtId="9" fontId="28" fillId="0" borderId="12" xfId="2" applyFont="1" applyBorder="1" applyAlignment="1">
      <alignment vertical="center" wrapText="1"/>
    </xf>
    <xf numFmtId="164" fontId="28" fillId="0" borderId="12" xfId="0" applyNumberFormat="1" applyFont="1" applyBorder="1" applyAlignment="1">
      <alignment vertical="center" wrapText="1"/>
    </xf>
    <xf numFmtId="164" fontId="28" fillId="0" borderId="13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19" fillId="0" borderId="11" xfId="0" applyFont="1" applyBorder="1" applyAlignment="1">
      <alignment horizontal="left" vertical="center" wrapText="1" indent="1"/>
    </xf>
    <xf numFmtId="164" fontId="23" fillId="0" borderId="13" xfId="0" applyNumberFormat="1" applyFont="1" applyBorder="1" applyAlignment="1">
      <alignment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2" fontId="18" fillId="0" borderId="12" xfId="1" applyNumberFormat="1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 indent="3"/>
    </xf>
    <xf numFmtId="0" fontId="26" fillId="0" borderId="12" xfId="0" applyFont="1" applyBorder="1" applyAlignment="1">
      <alignment horizontal="center" vertical="center" wrapText="1"/>
    </xf>
    <xf numFmtId="2" fontId="28" fillId="0" borderId="12" xfId="1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 wrapText="1" indent="3"/>
    </xf>
    <xf numFmtId="0" fontId="26" fillId="0" borderId="14" xfId="0" applyFont="1" applyBorder="1" applyAlignment="1">
      <alignment horizontal="left" vertical="center" wrapText="1" indent="1"/>
    </xf>
    <xf numFmtId="2" fontId="28" fillId="0" borderId="14" xfId="0" applyNumberFormat="1" applyFont="1" applyBorder="1" applyAlignment="1">
      <alignment horizontal="left" vertical="center" wrapText="1" indent="1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2" fontId="14" fillId="0" borderId="12" xfId="0" applyNumberFormat="1" applyFont="1" applyBorder="1" applyAlignment="1">
      <alignment vertical="center"/>
    </xf>
    <xf numFmtId="164" fontId="14" fillId="0" borderId="12" xfId="0" applyNumberFormat="1" applyFont="1" applyBorder="1" applyAlignment="1">
      <alignment vertical="center"/>
    </xf>
    <xf numFmtId="164" fontId="13" fillId="0" borderId="13" xfId="0" applyNumberFormat="1" applyFont="1" applyBorder="1" applyAlignment="1">
      <alignment vertical="center"/>
    </xf>
    <xf numFmtId="0" fontId="15" fillId="2" borderId="11" xfId="0" applyFont="1" applyFill="1" applyBorder="1" applyAlignment="1">
      <alignment horizontal="left" vertical="center"/>
    </xf>
    <xf numFmtId="0" fontId="16" fillId="2" borderId="12" xfId="0" applyFont="1" applyFill="1" applyBorder="1" applyAlignment="1">
      <alignment vertical="center"/>
    </xf>
    <xf numFmtId="2" fontId="31" fillId="2" borderId="12" xfId="0" applyNumberFormat="1" applyFont="1" applyFill="1" applyBorder="1" applyAlignment="1">
      <alignment vertical="center" wrapText="1"/>
    </xf>
    <xf numFmtId="2" fontId="16" fillId="2" borderId="12" xfId="0" applyNumberFormat="1" applyFont="1" applyFill="1" applyBorder="1" applyAlignment="1">
      <alignment vertical="center"/>
    </xf>
    <xf numFmtId="164" fontId="16" fillId="2" borderId="12" xfId="0" applyNumberFormat="1" applyFont="1" applyFill="1" applyBorder="1" applyAlignment="1">
      <alignment vertical="center"/>
    </xf>
    <xf numFmtId="164" fontId="16" fillId="2" borderId="13" xfId="0" applyNumberFormat="1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" fontId="14" fillId="0" borderId="12" xfId="0" applyNumberFormat="1" applyFont="1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2" fontId="14" fillId="0" borderId="12" xfId="1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 wrapText="1" indent="4"/>
    </xf>
    <xf numFmtId="0" fontId="19" fillId="0" borderId="12" xfId="0" applyFont="1" applyBorder="1" applyAlignment="1">
      <alignment horizontal="left" vertical="center" wrapText="1" indent="7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left" vertical="center" wrapText="1" indent="4"/>
    </xf>
    <xf numFmtId="0" fontId="24" fillId="0" borderId="12" xfId="0" applyFont="1" applyBorder="1" applyAlignment="1">
      <alignment horizontal="center" vertical="center" wrapText="1"/>
    </xf>
    <xf numFmtId="164" fontId="17" fillId="0" borderId="12" xfId="0" applyNumberFormat="1" applyFont="1" applyBorder="1" applyAlignment="1">
      <alignment vertical="center" wrapText="1"/>
    </xf>
    <xf numFmtId="164" fontId="17" fillId="0" borderId="13" xfId="0" applyNumberFormat="1" applyFont="1" applyBorder="1" applyAlignment="1">
      <alignment vertical="center"/>
    </xf>
    <xf numFmtId="16" fontId="19" fillId="0" borderId="12" xfId="0" applyNumberFormat="1" applyFont="1" applyBorder="1" applyAlignment="1">
      <alignment horizontal="left" vertical="center" wrapText="1" indent="4"/>
    </xf>
    <xf numFmtId="2" fontId="14" fillId="0" borderId="12" xfId="1" applyNumberFormat="1" applyFont="1" applyFill="1" applyBorder="1" applyAlignment="1">
      <alignment horizontal="center" vertical="center" wrapText="1"/>
    </xf>
    <xf numFmtId="2" fontId="17" fillId="0" borderId="0" xfId="0" applyNumberFormat="1" applyFont="1" applyAlignment="1">
      <alignment vertical="center"/>
    </xf>
    <xf numFmtId="2" fontId="33" fillId="2" borderId="12" xfId="0" applyNumberFormat="1" applyFont="1" applyFill="1" applyBorder="1" applyAlignment="1">
      <alignment horizontal="left" vertical="center" wrapText="1" indent="1"/>
    </xf>
    <xf numFmtId="164" fontId="28" fillId="0" borderId="12" xfId="0" applyNumberFormat="1" applyFont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 indent="4"/>
    </xf>
    <xf numFmtId="0" fontId="26" fillId="0" borderId="14" xfId="0" applyFont="1" applyBorder="1" applyAlignment="1">
      <alignment horizontal="left" vertical="center" wrapText="1" indent="4"/>
    </xf>
    <xf numFmtId="0" fontId="18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center" wrapText="1" indent="4"/>
    </xf>
    <xf numFmtId="0" fontId="24" fillId="0" borderId="16" xfId="0" applyFont="1" applyBorder="1" applyAlignment="1">
      <alignment horizontal="center" vertical="center" wrapText="1"/>
    </xf>
    <xf numFmtId="2" fontId="17" fillId="0" borderId="16" xfId="0" applyNumberFormat="1" applyFont="1" applyBorder="1" applyAlignment="1">
      <alignment vertical="center" wrapText="1"/>
    </xf>
    <xf numFmtId="164" fontId="28" fillId="0" borderId="16" xfId="0" applyNumberFormat="1" applyFont="1" applyBorder="1" applyAlignment="1">
      <alignment horizontal="center" vertical="center" wrapText="1"/>
    </xf>
    <xf numFmtId="164" fontId="34" fillId="0" borderId="17" xfId="0" applyNumberFormat="1" applyFont="1" applyBorder="1" applyAlignment="1">
      <alignment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 wrapText="1"/>
    </xf>
    <xf numFmtId="2" fontId="20" fillId="0" borderId="19" xfId="0" applyNumberFormat="1" applyFont="1" applyBorder="1" applyAlignment="1">
      <alignment horizontal="left" vertical="center" wrapText="1" indent="1"/>
    </xf>
    <xf numFmtId="2" fontId="14" fillId="0" borderId="19" xfId="1" applyNumberFormat="1" applyFont="1" applyFill="1" applyBorder="1" applyAlignment="1">
      <alignment horizontal="center" vertical="center" wrapText="1"/>
    </xf>
    <xf numFmtId="3" fontId="17" fillId="0" borderId="0" xfId="0" applyNumberFormat="1" applyFont="1" applyAlignment="1">
      <alignment vertical="center" wrapText="1"/>
    </xf>
    <xf numFmtId="3" fontId="29" fillId="3" borderId="23" xfId="3" applyNumberFormat="1" applyFont="1" applyFill="1" applyBorder="1" applyAlignment="1">
      <alignment vertical="center" wrapText="1"/>
    </xf>
    <xf numFmtId="3" fontId="29" fillId="3" borderId="13" xfId="3" applyNumberFormat="1" applyFont="1" applyFill="1" applyBorder="1" applyAlignment="1">
      <alignment vertical="center" wrapText="1"/>
    </xf>
    <xf numFmtId="3" fontId="29" fillId="3" borderId="17" xfId="3" applyNumberFormat="1" applyFont="1" applyFill="1" applyBorder="1" applyAlignment="1">
      <alignment vertical="center" wrapText="1"/>
    </xf>
    <xf numFmtId="0" fontId="18" fillId="0" borderId="0" xfId="3" applyFont="1" applyAlignment="1">
      <alignment horizontal="center" vertical="center" wrapText="1"/>
    </xf>
    <xf numFmtId="3" fontId="29" fillId="0" borderId="0" xfId="3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164" fontId="17" fillId="0" borderId="0" xfId="0" applyNumberFormat="1" applyFont="1" applyAlignment="1">
      <alignment vertical="center" wrapText="1"/>
    </xf>
    <xf numFmtId="164" fontId="34" fillId="0" borderId="0" xfId="0" applyNumberFormat="1" applyFont="1" applyAlignment="1">
      <alignment vertical="center" wrapText="1"/>
    </xf>
    <xf numFmtId="3" fontId="34" fillId="0" borderId="0" xfId="0" applyNumberFormat="1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7" fillId="0" borderId="0" xfId="3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65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29" fillId="3" borderId="15" xfId="3" applyFont="1" applyFill="1" applyBorder="1" applyAlignment="1">
      <alignment horizontal="center" vertical="center" wrapText="1"/>
    </xf>
    <xf numFmtId="0" fontId="29" fillId="3" borderId="16" xfId="3" applyFont="1" applyFill="1" applyBorder="1" applyAlignment="1">
      <alignment horizontal="center" vertical="center" wrapText="1"/>
    </xf>
    <xf numFmtId="0" fontId="29" fillId="0" borderId="0" xfId="3" applyFont="1" applyAlignment="1">
      <alignment vertical="center" wrapText="1"/>
    </xf>
    <xf numFmtId="164" fontId="28" fillId="0" borderId="13" xfId="0" applyNumberFormat="1" applyFont="1" applyBorder="1" applyAlignment="1">
      <alignment horizontal="right" vertical="center"/>
    </xf>
    <xf numFmtId="164" fontId="14" fillId="0" borderId="13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2" xfId="3" xr:uid="{02832B75-AFEA-43C4-9E53-CAC752115E0C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735107</xdr:colOff>
      <xdr:row>1</xdr:row>
      <xdr:rowOff>35858</xdr:rowOff>
    </xdr:from>
    <xdr:to>
      <xdr:col>6</xdr:col>
      <xdr:colOff>1443319</xdr:colOff>
      <xdr:row>3</xdr:row>
      <xdr:rowOff>69228</xdr:rowOff>
    </xdr:to>
    <xdr:pic>
      <xdr:nvPicPr>
        <xdr:cNvPr id="3" name="Image 2" descr="Drapeau Gabon — Varinard">
          <a:extLst>
            <a:ext uri="{FF2B5EF4-FFF2-40B4-BE49-F238E27FC236}">
              <a16:creationId xmlns:a16="http://schemas.microsoft.com/office/drawing/2014/main" id="{A1D984EA-9BC2-9F7F-54B1-F5BEEF9C5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3" y="170329"/>
          <a:ext cx="708212" cy="48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379E-4671-4ED2-AA25-967FE4D61275}">
  <dimension ref="A1:P187"/>
  <sheetViews>
    <sheetView tabSelected="1" view="pageBreakPreview" zoomScale="85" zoomScaleNormal="85" zoomScaleSheetLayoutView="85" zoomScalePageLayoutView="74" workbookViewId="0">
      <selection activeCell="F135" sqref="F135"/>
    </sheetView>
  </sheetViews>
  <sheetFormatPr baseColWidth="10" defaultColWidth="11.5546875" defaultRowHeight="13.2" outlineLevelRow="1" x14ac:dyDescent="0.3"/>
  <cols>
    <col min="1" max="1" width="8.6640625" style="13" customWidth="1"/>
    <col min="2" max="2" width="63.6640625" style="13" customWidth="1"/>
    <col min="3" max="3" width="8.109375" style="13" customWidth="1"/>
    <col min="4" max="4" width="11.88671875" style="13" hidden="1" customWidth="1"/>
    <col min="5" max="5" width="12.109375" style="13" customWidth="1"/>
    <col min="6" max="6" width="15.6640625" style="13" customWidth="1"/>
    <col min="7" max="7" width="21.109375" style="13" customWidth="1"/>
    <col min="8" max="8" width="14.33203125" style="21" customWidth="1"/>
    <col min="9" max="16384" width="11.5546875" style="13"/>
  </cols>
  <sheetData>
    <row r="1" spans="1:8" s="2" customFormat="1" ht="10.8" x14ac:dyDescent="0.3">
      <c r="A1" s="1"/>
      <c r="B1" s="1"/>
      <c r="C1" s="1"/>
      <c r="D1" s="1"/>
      <c r="E1" s="1"/>
      <c r="F1" s="1"/>
      <c r="G1" s="1"/>
    </row>
    <row r="2" spans="1:8" s="4" customFormat="1" ht="17.399999999999999" x14ac:dyDescent="0.3">
      <c r="A2" s="3"/>
      <c r="B2" s="3"/>
      <c r="C2" s="3"/>
      <c r="E2" s="5" t="s">
        <v>0</v>
      </c>
      <c r="F2" s="6"/>
      <c r="G2" s="3"/>
    </row>
    <row r="3" spans="1:8" s="4" customFormat="1" ht="17.399999999999999" x14ac:dyDescent="0.3">
      <c r="A3" s="7"/>
      <c r="B3" s="7"/>
      <c r="C3" s="7"/>
      <c r="E3" s="8" t="s">
        <v>1</v>
      </c>
      <c r="F3" s="8"/>
      <c r="G3" s="7"/>
    </row>
    <row r="4" spans="1:8" s="2" customFormat="1" ht="14.4" x14ac:dyDescent="0.3">
      <c r="A4" s="9"/>
      <c r="B4" s="9"/>
      <c r="C4" s="9"/>
      <c r="E4" s="10"/>
      <c r="F4" s="9"/>
      <c r="G4"/>
    </row>
    <row r="5" spans="1:8" s="2" customFormat="1" ht="10.8" x14ac:dyDescent="0.3">
      <c r="A5" s="1"/>
      <c r="B5" s="1"/>
      <c r="C5" s="1"/>
      <c r="E5" s="1"/>
      <c r="F5" s="1"/>
      <c r="G5" s="1"/>
    </row>
    <row r="6" spans="1:8" s="4" customFormat="1" ht="13.8" x14ac:dyDescent="0.3">
      <c r="A6" s="155" t="s">
        <v>2</v>
      </c>
      <c r="B6" s="155"/>
      <c r="C6" s="155"/>
      <c r="D6" s="155"/>
      <c r="E6" s="155"/>
      <c r="F6" s="155"/>
      <c r="G6" s="155"/>
    </row>
    <row r="7" spans="1:8" s="4" customFormat="1" ht="13.8" x14ac:dyDescent="0.3">
      <c r="A7" s="156" t="s">
        <v>3</v>
      </c>
      <c r="B7" s="156"/>
      <c r="C7" s="156"/>
      <c r="D7" s="156"/>
      <c r="E7" s="156"/>
      <c r="F7" s="156"/>
      <c r="G7" s="156"/>
    </row>
    <row r="8" spans="1:8" s="11" customFormat="1" ht="15" x14ac:dyDescent="0.3">
      <c r="A8" s="157" t="s">
        <v>4</v>
      </c>
      <c r="B8" s="157"/>
      <c r="C8" s="157"/>
      <c r="D8" s="157"/>
      <c r="E8" s="157"/>
      <c r="F8" s="157"/>
      <c r="G8" s="157"/>
    </row>
    <row r="9" spans="1:8" s="11" customFormat="1" ht="15" x14ac:dyDescent="0.3">
      <c r="A9" s="158" t="s">
        <v>5</v>
      </c>
      <c r="B9" s="158"/>
      <c r="C9" s="158"/>
      <c r="D9" s="158"/>
      <c r="E9" s="158"/>
      <c r="F9" s="158"/>
      <c r="G9" s="158"/>
    </row>
    <row r="10" spans="1:8" s="2" customFormat="1" ht="11.4" thickBot="1" x14ac:dyDescent="0.35">
      <c r="A10" s="12"/>
      <c r="B10" s="12"/>
      <c r="C10" s="12"/>
      <c r="D10" s="12"/>
      <c r="E10" s="12"/>
      <c r="F10" s="12"/>
      <c r="G10" s="12"/>
    </row>
    <row r="11" spans="1:8" ht="13.8" thickBot="1" x14ac:dyDescent="0.35">
      <c r="A11" s="159" t="s">
        <v>6</v>
      </c>
      <c r="B11" s="160"/>
      <c r="C11" s="160"/>
      <c r="D11" s="160"/>
      <c r="E11" s="160"/>
      <c r="F11" s="160"/>
      <c r="G11" s="161"/>
      <c r="H11" s="13"/>
    </row>
    <row r="12" spans="1:8" s="4" customFormat="1" ht="14.4" thickBot="1" x14ac:dyDescent="0.35">
      <c r="A12" s="14" t="s">
        <v>7</v>
      </c>
      <c r="B12" s="15" t="s">
        <v>8</v>
      </c>
      <c r="C12" s="15" t="s">
        <v>9</v>
      </c>
      <c r="D12" s="15" t="s">
        <v>10</v>
      </c>
      <c r="E12" s="15" t="s">
        <v>11</v>
      </c>
      <c r="F12" s="15" t="s">
        <v>12</v>
      </c>
      <c r="G12" s="16" t="s">
        <v>13</v>
      </c>
    </row>
    <row r="13" spans="1:8" ht="13.8" thickBot="1" x14ac:dyDescent="0.35">
      <c r="A13" s="17" t="s">
        <v>14</v>
      </c>
      <c r="B13" s="18"/>
      <c r="C13" s="18"/>
      <c r="D13" s="19"/>
      <c r="E13" s="18"/>
      <c r="F13" s="18"/>
      <c r="G13" s="20"/>
    </row>
    <row r="14" spans="1:8" x14ac:dyDescent="0.3">
      <c r="A14" s="22">
        <v>101</v>
      </c>
      <c r="B14" s="23" t="s">
        <v>15</v>
      </c>
      <c r="C14" s="24" t="s">
        <v>16</v>
      </c>
      <c r="D14" s="25"/>
      <c r="E14" s="26">
        <v>1</v>
      </c>
      <c r="F14" s="27"/>
      <c r="G14" s="28"/>
    </row>
    <row r="15" spans="1:8" x14ac:dyDescent="0.3">
      <c r="A15" s="29" t="s">
        <v>17</v>
      </c>
      <c r="B15" s="23" t="s">
        <v>18</v>
      </c>
      <c r="C15" s="24" t="s">
        <v>16</v>
      </c>
      <c r="D15" s="25"/>
      <c r="E15" s="26">
        <v>1</v>
      </c>
      <c r="F15" s="30">
        <v>20000000</v>
      </c>
      <c r="G15" s="28">
        <f>F15*E15</f>
        <v>20000000</v>
      </c>
    </row>
    <row r="16" spans="1:8" s="37" customFormat="1" ht="11.4" hidden="1" outlineLevel="1" x14ac:dyDescent="0.3">
      <c r="A16" s="29"/>
      <c r="B16" s="31" t="s">
        <v>19</v>
      </c>
      <c r="C16" s="32" t="s">
        <v>20</v>
      </c>
      <c r="D16" s="33">
        <v>10</v>
      </c>
      <c r="E16" s="34">
        <f>ROUNDUP(E15/D16,0)</f>
        <v>1</v>
      </c>
      <c r="F16" s="35">
        <v>250000</v>
      </c>
      <c r="G16" s="36">
        <f t="shared" ref="G16:G30" si="0">F16*E16*D16</f>
        <v>2500000</v>
      </c>
    </row>
    <row r="17" spans="1:8" s="37" customFormat="1" ht="11.4" hidden="1" outlineLevel="1" x14ac:dyDescent="0.3">
      <c r="A17" s="29"/>
      <c r="B17" s="31" t="s">
        <v>21</v>
      </c>
      <c r="C17" s="32" t="s">
        <v>20</v>
      </c>
      <c r="D17" s="33">
        <f>D16</f>
        <v>10</v>
      </c>
      <c r="E17" s="38">
        <v>0.5</v>
      </c>
      <c r="F17" s="35">
        <v>41538.461538461539</v>
      </c>
      <c r="G17" s="36">
        <f t="shared" si="0"/>
        <v>207692.30769230769</v>
      </c>
    </row>
    <row r="18" spans="1:8" s="37" customFormat="1" ht="22.8" hidden="1" outlineLevel="1" x14ac:dyDescent="0.3">
      <c r="A18" s="29"/>
      <c r="B18" s="31" t="s">
        <v>22</v>
      </c>
      <c r="C18" s="32" t="s">
        <v>23</v>
      </c>
      <c r="D18" s="39">
        <v>8</v>
      </c>
      <c r="E18" s="34">
        <v>1</v>
      </c>
      <c r="F18" s="35">
        <v>500000</v>
      </c>
      <c r="G18" s="36">
        <f t="shared" si="0"/>
        <v>4000000</v>
      </c>
    </row>
    <row r="19" spans="1:8" s="37" customFormat="1" ht="11.4" hidden="1" outlineLevel="1" x14ac:dyDescent="0.3">
      <c r="A19" s="29"/>
      <c r="B19" s="31" t="s">
        <v>24</v>
      </c>
      <c r="C19" s="32" t="s">
        <v>23</v>
      </c>
      <c r="D19" s="33">
        <f>MROUND(D18*10%,0.1)</f>
        <v>0.8</v>
      </c>
      <c r="E19" s="34">
        <v>1</v>
      </c>
      <c r="F19" s="35">
        <v>6500000</v>
      </c>
      <c r="G19" s="36">
        <f t="shared" si="0"/>
        <v>5200000</v>
      </c>
    </row>
    <row r="20" spans="1:8" s="37" customFormat="1" ht="11.4" hidden="1" outlineLevel="1" x14ac:dyDescent="0.3">
      <c r="A20" s="29"/>
      <c r="B20" s="31" t="s">
        <v>25</v>
      </c>
      <c r="C20" s="32" t="s">
        <v>23</v>
      </c>
      <c r="D20" s="33">
        <f>$D$18</f>
        <v>8</v>
      </c>
      <c r="E20" s="38">
        <f>50%</f>
        <v>0.5</v>
      </c>
      <c r="F20" s="35">
        <v>1080000</v>
      </c>
      <c r="G20" s="36">
        <f t="shared" si="0"/>
        <v>4320000</v>
      </c>
    </row>
    <row r="21" spans="1:8" s="37" customFormat="1" ht="11.4" hidden="1" outlineLevel="1" x14ac:dyDescent="0.3">
      <c r="A21" s="29"/>
      <c r="B21" s="31" t="s">
        <v>26</v>
      </c>
      <c r="C21" s="32" t="s">
        <v>27</v>
      </c>
      <c r="D21" s="33">
        <v>1</v>
      </c>
      <c r="E21" s="34">
        <v>1</v>
      </c>
      <c r="F21" s="35">
        <v>500000</v>
      </c>
      <c r="G21" s="36">
        <f t="shared" si="0"/>
        <v>500000</v>
      </c>
    </row>
    <row r="22" spans="1:8" s="37" customFormat="1" ht="11.4" hidden="1" outlineLevel="1" x14ac:dyDescent="0.3">
      <c r="A22" s="29"/>
      <c r="B22" s="31" t="s">
        <v>28</v>
      </c>
      <c r="C22" s="32" t="s">
        <v>27</v>
      </c>
      <c r="D22" s="33">
        <f t="shared" ref="D22:D28" si="1">$D$18</f>
        <v>8</v>
      </c>
      <c r="E22" s="34">
        <f>E15*E21</f>
        <v>1</v>
      </c>
      <c r="F22" s="35">
        <v>50000</v>
      </c>
      <c r="G22" s="36">
        <f t="shared" si="0"/>
        <v>400000</v>
      </c>
    </row>
    <row r="23" spans="1:8" s="37" customFormat="1" ht="11.4" hidden="1" outlineLevel="1" x14ac:dyDescent="0.3">
      <c r="A23" s="29"/>
      <c r="B23" s="31" t="s">
        <v>29</v>
      </c>
      <c r="C23" s="32" t="s">
        <v>27</v>
      </c>
      <c r="D23" s="33">
        <v>8</v>
      </c>
      <c r="E23" s="34">
        <v>1</v>
      </c>
      <c r="F23" s="35">
        <v>125000</v>
      </c>
      <c r="G23" s="36">
        <f t="shared" si="0"/>
        <v>1000000</v>
      </c>
    </row>
    <row r="24" spans="1:8" s="37" customFormat="1" ht="11.4" hidden="1" outlineLevel="1" x14ac:dyDescent="0.3">
      <c r="A24" s="29"/>
      <c r="B24" s="31" t="s">
        <v>30</v>
      </c>
      <c r="C24" s="32" t="s">
        <v>27</v>
      </c>
      <c r="D24" s="33">
        <f t="shared" si="1"/>
        <v>8</v>
      </c>
      <c r="E24" s="34">
        <v>1</v>
      </c>
      <c r="F24" s="35">
        <v>635593.22033898311</v>
      </c>
      <c r="G24" s="36">
        <f t="shared" si="0"/>
        <v>5084745.7627118649</v>
      </c>
    </row>
    <row r="25" spans="1:8" s="37" customFormat="1" ht="11.4" hidden="1" outlineLevel="1" x14ac:dyDescent="0.3">
      <c r="A25" s="29"/>
      <c r="B25" s="31" t="s">
        <v>31</v>
      </c>
      <c r="C25" s="32" t="s">
        <v>27</v>
      </c>
      <c r="D25" s="33">
        <f t="shared" si="1"/>
        <v>8</v>
      </c>
      <c r="E25" s="34">
        <v>1</v>
      </c>
      <c r="F25" s="35">
        <v>50000</v>
      </c>
      <c r="G25" s="36">
        <f t="shared" si="0"/>
        <v>400000</v>
      </c>
    </row>
    <row r="26" spans="1:8" s="37" customFormat="1" ht="11.4" hidden="1" outlineLevel="1" x14ac:dyDescent="0.3">
      <c r="A26" s="29"/>
      <c r="B26" s="31" t="s">
        <v>32</v>
      </c>
      <c r="C26" s="32" t="s">
        <v>27</v>
      </c>
      <c r="D26" s="33">
        <f t="shared" si="1"/>
        <v>8</v>
      </c>
      <c r="E26" s="34">
        <v>10</v>
      </c>
      <c r="F26" s="35">
        <v>5000</v>
      </c>
      <c r="G26" s="36">
        <f t="shared" si="0"/>
        <v>400000</v>
      </c>
    </row>
    <row r="27" spans="1:8" s="37" customFormat="1" ht="11.4" hidden="1" outlineLevel="1" x14ac:dyDescent="0.3">
      <c r="A27" s="29"/>
      <c r="B27" s="31" t="s">
        <v>33</v>
      </c>
      <c r="C27" s="32" t="s">
        <v>27</v>
      </c>
      <c r="D27" s="33">
        <f t="shared" si="1"/>
        <v>8</v>
      </c>
      <c r="E27" s="34">
        <f>10</f>
        <v>10</v>
      </c>
      <c r="F27" s="35">
        <v>40000</v>
      </c>
      <c r="G27" s="36">
        <f t="shared" si="0"/>
        <v>3200000</v>
      </c>
    </row>
    <row r="28" spans="1:8" s="37" customFormat="1" ht="11.4" hidden="1" outlineLevel="1" x14ac:dyDescent="0.3">
      <c r="A28" s="29"/>
      <c r="B28" s="31" t="s">
        <v>34</v>
      </c>
      <c r="C28" s="32" t="s">
        <v>23</v>
      </c>
      <c r="D28" s="33">
        <f t="shared" si="1"/>
        <v>8</v>
      </c>
      <c r="E28" s="34">
        <f>4</f>
        <v>4</v>
      </c>
      <c r="F28" s="35">
        <v>200000</v>
      </c>
      <c r="G28" s="36">
        <f t="shared" si="0"/>
        <v>6400000</v>
      </c>
    </row>
    <row r="29" spans="1:8" s="37" customFormat="1" ht="11.4" hidden="1" outlineLevel="1" x14ac:dyDescent="0.3">
      <c r="A29" s="29"/>
      <c r="B29" s="31" t="s">
        <v>35</v>
      </c>
      <c r="C29" s="32" t="s">
        <v>20</v>
      </c>
      <c r="D29" s="33">
        <v>50</v>
      </c>
      <c r="E29" s="34">
        <v>1</v>
      </c>
      <c r="F29" s="35">
        <v>45000</v>
      </c>
      <c r="G29" s="36">
        <f t="shared" si="0"/>
        <v>2250000</v>
      </c>
    </row>
    <row r="30" spans="1:8" s="37" customFormat="1" ht="11.4" hidden="1" outlineLevel="1" x14ac:dyDescent="0.3">
      <c r="A30" s="29"/>
      <c r="B30" s="31" t="s">
        <v>36</v>
      </c>
      <c r="C30" s="32" t="s">
        <v>20</v>
      </c>
      <c r="D30" s="33">
        <f>$D$18</f>
        <v>8</v>
      </c>
      <c r="E30" s="34">
        <v>1</v>
      </c>
      <c r="F30" s="35">
        <v>300000</v>
      </c>
      <c r="G30" s="36">
        <f t="shared" si="0"/>
        <v>2400000</v>
      </c>
    </row>
    <row r="31" spans="1:8" s="46" customFormat="1" ht="11.4" hidden="1" outlineLevel="1" x14ac:dyDescent="0.3">
      <c r="A31" s="40"/>
      <c r="B31" s="41"/>
      <c r="C31" s="42"/>
      <c r="D31" s="43"/>
      <c r="E31" s="44"/>
      <c r="F31" s="45"/>
      <c r="G31" s="36">
        <f>F31*E31</f>
        <v>0</v>
      </c>
    </row>
    <row r="32" spans="1:8" s="52" customFormat="1" collapsed="1" x14ac:dyDescent="0.3">
      <c r="A32" s="29" t="s">
        <v>17</v>
      </c>
      <c r="B32" s="23" t="s">
        <v>37</v>
      </c>
      <c r="C32" s="24" t="s">
        <v>16</v>
      </c>
      <c r="D32" s="47"/>
      <c r="E32" s="48">
        <v>1</v>
      </c>
      <c r="F32" s="49">
        <v>5910000</v>
      </c>
      <c r="G32" s="50">
        <f>F32*E32</f>
        <v>5910000</v>
      </c>
      <c r="H32" s="51"/>
    </row>
    <row r="33" spans="1:8" s="57" customFormat="1" ht="11.4" hidden="1" outlineLevel="1" x14ac:dyDescent="0.3">
      <c r="A33" s="29"/>
      <c r="B33" s="31" t="s">
        <v>38</v>
      </c>
      <c r="C33" s="32" t="s">
        <v>23</v>
      </c>
      <c r="D33" s="53">
        <v>8</v>
      </c>
      <c r="E33" s="54">
        <f>2*ROUNDUP(E32/D33,0)/8</f>
        <v>0.25</v>
      </c>
      <c r="F33" s="55">
        <v>1225000</v>
      </c>
      <c r="G33" s="56">
        <f>F33*E33*D33</f>
        <v>2450000</v>
      </c>
    </row>
    <row r="34" spans="1:8" s="57" customFormat="1" ht="11.4" hidden="1" outlineLevel="1" x14ac:dyDescent="0.3">
      <c r="A34" s="29"/>
      <c r="B34" s="31" t="s">
        <v>39</v>
      </c>
      <c r="C34" s="32" t="s">
        <v>40</v>
      </c>
      <c r="D34" s="53">
        <v>1</v>
      </c>
      <c r="E34" s="54">
        <f>10*6</f>
        <v>60</v>
      </c>
      <c r="F34" s="55">
        <v>35000</v>
      </c>
      <c r="G34" s="56">
        <f>F34*E34*D34</f>
        <v>2100000</v>
      </c>
    </row>
    <row r="35" spans="1:8" s="57" customFormat="1" ht="11.4" hidden="1" outlineLevel="1" x14ac:dyDescent="0.3">
      <c r="A35" s="29"/>
      <c r="B35" s="31" t="s">
        <v>41</v>
      </c>
      <c r="C35" s="32" t="s">
        <v>40</v>
      </c>
      <c r="D35" s="53">
        <v>1</v>
      </c>
      <c r="E35" s="54">
        <v>100</v>
      </c>
      <c r="F35" s="55">
        <v>2500</v>
      </c>
      <c r="G35" s="56">
        <f>F35*E35*D35</f>
        <v>250000</v>
      </c>
    </row>
    <row r="36" spans="1:8" s="46" customFormat="1" ht="10.199999999999999" hidden="1" outlineLevel="1" x14ac:dyDescent="0.3">
      <c r="A36" s="58"/>
      <c r="B36" s="59"/>
      <c r="C36" s="60"/>
      <c r="D36" s="61"/>
      <c r="E36" s="62"/>
      <c r="F36" s="63"/>
      <c r="G36" s="64">
        <f>F36*E36</f>
        <v>0</v>
      </c>
    </row>
    <row r="37" spans="1:8" s="52" customFormat="1" collapsed="1" x14ac:dyDescent="0.3">
      <c r="A37" s="22">
        <f>A14+1</f>
        <v>102</v>
      </c>
      <c r="B37" s="23" t="s">
        <v>42</v>
      </c>
      <c r="C37" s="24" t="s">
        <v>16</v>
      </c>
      <c r="D37" s="47"/>
      <c r="E37" s="48">
        <v>1</v>
      </c>
      <c r="F37" s="65"/>
      <c r="G37" s="50"/>
      <c r="H37" s="51"/>
    </row>
    <row r="38" spans="1:8" s="52" customFormat="1" x14ac:dyDescent="0.3">
      <c r="A38" s="66" t="s">
        <v>43</v>
      </c>
      <c r="B38" s="67" t="s">
        <v>44</v>
      </c>
      <c r="C38" s="24" t="s">
        <v>16</v>
      </c>
      <c r="D38" s="47"/>
      <c r="E38" s="48">
        <v>1</v>
      </c>
      <c r="F38" s="49">
        <v>11470000</v>
      </c>
      <c r="G38" s="50">
        <f>F38*E38</f>
        <v>11470000</v>
      </c>
      <c r="H38" s="51"/>
    </row>
    <row r="39" spans="1:8" s="75" customFormat="1" hidden="1" outlineLevel="1" x14ac:dyDescent="0.3">
      <c r="A39" s="68"/>
      <c r="B39" s="69" t="s">
        <v>45</v>
      </c>
      <c r="C39" s="70" t="s">
        <v>23</v>
      </c>
      <c r="D39" s="71">
        <v>8</v>
      </c>
      <c r="E39" s="72">
        <f>1/8</f>
        <v>0.125</v>
      </c>
      <c r="F39" s="73">
        <v>3313625.0000000005</v>
      </c>
      <c r="G39" s="74">
        <f>F39*E39*D39</f>
        <v>3313625.0000000005</v>
      </c>
    </row>
    <row r="40" spans="1:8" s="75" customFormat="1" hidden="1" outlineLevel="1" x14ac:dyDescent="0.3">
      <c r="A40" s="68"/>
      <c r="B40" s="69" t="s">
        <v>46</v>
      </c>
      <c r="C40" s="70" t="s">
        <v>40</v>
      </c>
      <c r="D40" s="71">
        <v>1</v>
      </c>
      <c r="E40" s="72">
        <v>1</v>
      </c>
      <c r="F40" s="73">
        <v>6000000</v>
      </c>
      <c r="G40" s="74">
        <f>F40*E40*D40</f>
        <v>6000000</v>
      </c>
    </row>
    <row r="41" spans="1:8" s="46" customFormat="1" ht="11.4" hidden="1" outlineLevel="1" x14ac:dyDescent="0.3">
      <c r="A41" s="76"/>
      <c r="B41" s="59"/>
      <c r="C41" s="60"/>
      <c r="D41" s="61"/>
      <c r="E41" s="62"/>
      <c r="F41" s="63"/>
      <c r="G41" s="64">
        <f>F41*E41</f>
        <v>0</v>
      </c>
    </row>
    <row r="42" spans="1:8" s="52" customFormat="1" collapsed="1" x14ac:dyDescent="0.3">
      <c r="A42" s="66" t="s">
        <v>47</v>
      </c>
      <c r="B42" s="67" t="s">
        <v>48</v>
      </c>
      <c r="C42" s="24" t="s">
        <v>16</v>
      </c>
      <c r="D42" s="47"/>
      <c r="E42" s="48">
        <v>1</v>
      </c>
      <c r="F42" s="49">
        <v>14780000</v>
      </c>
      <c r="G42" s="50">
        <f>F42*E42</f>
        <v>14780000</v>
      </c>
      <c r="H42" s="51"/>
    </row>
    <row r="43" spans="1:8" s="75" customFormat="1" hidden="1" outlineLevel="1" x14ac:dyDescent="0.3">
      <c r="A43" s="68"/>
      <c r="B43" s="69" t="s">
        <v>49</v>
      </c>
      <c r="C43" s="70" t="s">
        <v>23</v>
      </c>
      <c r="D43" s="71">
        <f>$D$18</f>
        <v>8</v>
      </c>
      <c r="E43" s="72">
        <v>1</v>
      </c>
      <c r="F43" s="73">
        <v>1500000</v>
      </c>
      <c r="G43" s="74">
        <f>F43*E43*D43</f>
        <v>12000000</v>
      </c>
    </row>
    <row r="44" spans="1:8" s="46" customFormat="1" ht="11.4" hidden="1" outlineLevel="1" x14ac:dyDescent="0.3">
      <c r="A44" s="76"/>
      <c r="B44" s="59"/>
      <c r="C44" s="60"/>
      <c r="D44" s="61"/>
      <c r="E44" s="62"/>
      <c r="F44" s="63"/>
      <c r="G44" s="64">
        <f>F44*E44</f>
        <v>0</v>
      </c>
    </row>
    <row r="45" spans="1:8" s="52" customFormat="1" collapsed="1" x14ac:dyDescent="0.3">
      <c r="A45" s="66" t="s">
        <v>50</v>
      </c>
      <c r="B45" s="67" t="s">
        <v>51</v>
      </c>
      <c r="C45" s="24" t="s">
        <v>16</v>
      </c>
      <c r="D45" s="47"/>
      <c r="E45" s="48">
        <v>1</v>
      </c>
      <c r="F45" s="49">
        <v>10090000</v>
      </c>
      <c r="G45" s="50">
        <f>F45*E45</f>
        <v>10090000</v>
      </c>
      <c r="H45" s="51"/>
    </row>
    <row r="46" spans="1:8" s="81" customFormat="1" hidden="1" outlineLevel="1" x14ac:dyDescent="0.3">
      <c r="A46" s="68"/>
      <c r="B46" s="69" t="s">
        <v>52</v>
      </c>
      <c r="C46" s="70" t="s">
        <v>20</v>
      </c>
      <c r="D46" s="77">
        <f>SUM(E104*0.1,E103)/10</f>
        <v>131.04000000000002</v>
      </c>
      <c r="E46" s="78">
        <v>0.5</v>
      </c>
      <c r="F46" s="79">
        <v>125000</v>
      </c>
      <c r="G46" s="80">
        <f>F46*E46*D46</f>
        <v>8190000.0000000009</v>
      </c>
    </row>
    <row r="47" spans="1:8" s="46" customFormat="1" ht="11.4" hidden="1" outlineLevel="1" x14ac:dyDescent="0.3">
      <c r="A47" s="82"/>
      <c r="B47" s="41"/>
      <c r="C47" s="42"/>
      <c r="D47" s="43"/>
      <c r="E47" s="44"/>
      <c r="F47" s="45"/>
      <c r="G47" s="83">
        <f>F47*E47</f>
        <v>0</v>
      </c>
    </row>
    <row r="48" spans="1:8" collapsed="1" x14ac:dyDescent="0.3">
      <c r="A48" s="84">
        <v>103</v>
      </c>
      <c r="B48" s="85" t="s">
        <v>53</v>
      </c>
      <c r="C48" s="24"/>
      <c r="D48" s="25"/>
      <c r="E48" s="86"/>
      <c r="F48" s="27"/>
      <c r="G48" s="28"/>
    </row>
    <row r="49" spans="1:8" s="81" customFormat="1" x14ac:dyDescent="0.3">
      <c r="A49" s="87">
        <v>1</v>
      </c>
      <c r="B49" s="88" t="s">
        <v>54</v>
      </c>
      <c r="C49" s="89" t="s">
        <v>9</v>
      </c>
      <c r="D49" s="34"/>
      <c r="E49" s="90">
        <v>5</v>
      </c>
      <c r="F49" s="79">
        <v>4170000</v>
      </c>
      <c r="G49" s="80">
        <f>F49*E49</f>
        <v>20850000</v>
      </c>
      <c r="H49" s="37"/>
    </row>
    <row r="50" spans="1:8" s="81" customFormat="1" x14ac:dyDescent="0.3">
      <c r="A50" s="87">
        <v>2</v>
      </c>
      <c r="B50" s="88" t="s">
        <v>55</v>
      </c>
      <c r="C50" s="89" t="s">
        <v>9</v>
      </c>
      <c r="D50" s="34"/>
      <c r="E50" s="90">
        <v>2</v>
      </c>
      <c r="F50" s="79">
        <v>4370000</v>
      </c>
      <c r="G50" s="80">
        <f>F50*E50</f>
        <v>8740000</v>
      </c>
      <c r="H50" s="37"/>
    </row>
    <row r="51" spans="1:8" s="81" customFormat="1" ht="26.4" collapsed="1" x14ac:dyDescent="0.3">
      <c r="A51" s="87">
        <v>3</v>
      </c>
      <c r="B51" s="88" t="s">
        <v>56</v>
      </c>
      <c r="C51" s="89" t="s">
        <v>9</v>
      </c>
      <c r="D51" s="34"/>
      <c r="E51" s="90">
        <v>10</v>
      </c>
      <c r="F51" s="79">
        <v>5280000</v>
      </c>
      <c r="G51" s="80">
        <f>F51*E51</f>
        <v>52800000</v>
      </c>
      <c r="H51" s="37"/>
    </row>
    <row r="52" spans="1:8" s="81" customFormat="1" x14ac:dyDescent="0.3">
      <c r="A52" s="87">
        <v>4</v>
      </c>
      <c r="B52" s="88" t="s">
        <v>57</v>
      </c>
      <c r="C52" s="89" t="s">
        <v>9</v>
      </c>
      <c r="D52" s="34"/>
      <c r="E52" s="90">
        <v>2</v>
      </c>
      <c r="F52" s="79">
        <v>6940000</v>
      </c>
      <c r="G52" s="80">
        <f>F52*E52</f>
        <v>13880000</v>
      </c>
      <c r="H52" s="37"/>
    </row>
    <row r="53" spans="1:8" s="81" customFormat="1" x14ac:dyDescent="0.3">
      <c r="A53" s="87">
        <v>5</v>
      </c>
      <c r="B53" s="91" t="s">
        <v>58</v>
      </c>
      <c r="C53" s="92" t="s">
        <v>59</v>
      </c>
      <c r="D53" s="93">
        <v>1</v>
      </c>
      <c r="E53" s="90">
        <v>100</v>
      </c>
      <c r="F53" s="79">
        <v>30000</v>
      </c>
      <c r="G53" s="80">
        <f>F53*E53</f>
        <v>3000000</v>
      </c>
      <c r="H53" s="37"/>
    </row>
    <row r="54" spans="1:8" x14ac:dyDescent="0.3">
      <c r="A54" s="94"/>
      <c r="B54" s="95"/>
      <c r="C54" s="95"/>
      <c r="D54" s="25"/>
      <c r="E54" s="96"/>
      <c r="F54" s="97"/>
      <c r="G54" s="98">
        <f>SUM(G15,G32,G38,G42,G45,G49,G50,G51,G52,G53)</f>
        <v>161520000</v>
      </c>
    </row>
    <row r="55" spans="1:8" x14ac:dyDescent="0.3">
      <c r="A55" s="99" t="s">
        <v>60</v>
      </c>
      <c r="B55" s="100"/>
      <c r="C55" s="100"/>
      <c r="D55" s="101"/>
      <c r="E55" s="102"/>
      <c r="F55" s="103"/>
      <c r="G55" s="104"/>
    </row>
    <row r="56" spans="1:8" x14ac:dyDescent="0.3">
      <c r="A56" s="105" t="s">
        <v>7</v>
      </c>
      <c r="B56" s="106" t="s">
        <v>8</v>
      </c>
      <c r="C56" s="106" t="s">
        <v>9</v>
      </c>
      <c r="D56" s="25"/>
      <c r="E56" s="107" t="s">
        <v>11</v>
      </c>
      <c r="F56" s="108"/>
      <c r="G56" s="28"/>
    </row>
    <row r="57" spans="1:8" x14ac:dyDescent="0.3">
      <c r="A57" s="109">
        <v>201</v>
      </c>
      <c r="B57" s="110" t="s">
        <v>61</v>
      </c>
      <c r="C57" s="111" t="s">
        <v>59</v>
      </c>
      <c r="D57" s="25">
        <v>1</v>
      </c>
      <c r="E57" s="112">
        <f>100*7</f>
        <v>700</v>
      </c>
      <c r="F57" s="27">
        <v>3800</v>
      </c>
      <c r="G57" s="28">
        <f>F57*E57</f>
        <v>2660000</v>
      </c>
    </row>
    <row r="58" spans="1:8" ht="26.4" x14ac:dyDescent="0.3">
      <c r="A58" s="109">
        <v>202</v>
      </c>
      <c r="B58" s="110" t="s">
        <v>62</v>
      </c>
      <c r="C58" s="111" t="s">
        <v>63</v>
      </c>
      <c r="D58" s="25">
        <v>1</v>
      </c>
      <c r="E58" s="112">
        <f>250*9.2*0.4</f>
        <v>920</v>
      </c>
      <c r="F58" s="27">
        <v>13820</v>
      </c>
      <c r="G58" s="28">
        <f>F58*E58</f>
        <v>12714400</v>
      </c>
    </row>
    <row r="59" spans="1:8" s="37" customFormat="1" ht="11.4" hidden="1" outlineLevel="1" x14ac:dyDescent="0.3">
      <c r="A59" s="29"/>
      <c r="B59" s="31" t="s">
        <v>64</v>
      </c>
      <c r="C59" s="113" t="s">
        <v>65</v>
      </c>
      <c r="D59" s="34"/>
      <c r="E59" s="34">
        <f>1000-750</f>
        <v>250</v>
      </c>
      <c r="F59" s="35"/>
      <c r="G59" s="36"/>
    </row>
    <row r="60" spans="1:8" s="37" customFormat="1" ht="11.4" hidden="1" outlineLevel="1" x14ac:dyDescent="0.3">
      <c r="A60" s="29"/>
      <c r="B60" s="114" t="s">
        <v>66</v>
      </c>
      <c r="C60" s="113" t="s">
        <v>65</v>
      </c>
      <c r="D60" s="34"/>
      <c r="E60" s="34">
        <v>9.1999999999999993</v>
      </c>
      <c r="F60" s="35"/>
      <c r="G60" s="36"/>
    </row>
    <row r="61" spans="1:8" s="37" customFormat="1" ht="11.4" hidden="1" outlineLevel="1" x14ac:dyDescent="0.3">
      <c r="A61" s="29"/>
      <c r="B61" s="31" t="s">
        <v>67</v>
      </c>
      <c r="C61" s="113" t="s">
        <v>65</v>
      </c>
      <c r="D61" s="34"/>
      <c r="E61" s="34">
        <v>0.4</v>
      </c>
      <c r="F61" s="35"/>
      <c r="G61" s="36"/>
    </row>
    <row r="62" spans="1:8" s="37" customFormat="1" ht="11.4" hidden="1" outlineLevel="1" x14ac:dyDescent="0.3">
      <c r="A62" s="29"/>
      <c r="B62" s="31" t="s">
        <v>68</v>
      </c>
      <c r="C62" s="113" t="s">
        <v>59</v>
      </c>
      <c r="D62" s="34"/>
      <c r="E62" s="34">
        <f>E60*E59</f>
        <v>2300</v>
      </c>
      <c r="F62" s="35"/>
      <c r="G62" s="36"/>
    </row>
    <row r="63" spans="1:8" s="37" customFormat="1" ht="15" hidden="1" outlineLevel="1" x14ac:dyDescent="0.3">
      <c r="A63" s="29"/>
      <c r="B63" s="31" t="s">
        <v>69</v>
      </c>
      <c r="C63" s="111" t="s">
        <v>63</v>
      </c>
      <c r="D63" s="34"/>
      <c r="E63" s="34">
        <f>E59*E60*E61</f>
        <v>920</v>
      </c>
      <c r="F63" s="35"/>
      <c r="G63" s="36"/>
    </row>
    <row r="64" spans="1:8" s="37" customFormat="1" hidden="1" outlineLevel="1" x14ac:dyDescent="0.3">
      <c r="A64" s="29"/>
      <c r="B64" s="31" t="s">
        <v>70</v>
      </c>
      <c r="C64" s="111" t="s">
        <v>20</v>
      </c>
      <c r="D64" s="34">
        <f>E63/120</f>
        <v>7.666666666666667</v>
      </c>
      <c r="E64" s="34">
        <v>1</v>
      </c>
      <c r="F64" s="35">
        <v>346153.84615384613</v>
      </c>
      <c r="G64" s="36">
        <f t="shared" ref="G64:G69" si="2">F64*E64*D64</f>
        <v>2653846.1538461535</v>
      </c>
    </row>
    <row r="65" spans="1:7" s="37" customFormat="1" hidden="1" outlineLevel="1" x14ac:dyDescent="0.3">
      <c r="A65" s="29"/>
      <c r="B65" s="31" t="s">
        <v>71</v>
      </c>
      <c r="C65" s="111" t="s">
        <v>20</v>
      </c>
      <c r="D65" s="34">
        <f t="shared" ref="D65:D69" si="3">$D$64</f>
        <v>7.666666666666667</v>
      </c>
      <c r="E65" s="34">
        <v>1</v>
      </c>
      <c r="F65" s="35">
        <v>288461.53846153844</v>
      </c>
      <c r="G65" s="36">
        <f t="shared" si="2"/>
        <v>2211538.4615384615</v>
      </c>
    </row>
    <row r="66" spans="1:7" s="37" customFormat="1" ht="11.4" hidden="1" outlineLevel="1" x14ac:dyDescent="0.3">
      <c r="A66" s="29"/>
      <c r="B66" s="31" t="s">
        <v>72</v>
      </c>
      <c r="C66" s="113" t="s">
        <v>20</v>
      </c>
      <c r="D66" s="34">
        <f t="shared" si="3"/>
        <v>7.666666666666667</v>
      </c>
      <c r="E66" s="34">
        <v>1</v>
      </c>
      <c r="F66" s="35">
        <v>182648.40182648401</v>
      </c>
      <c r="G66" s="36">
        <f t="shared" si="2"/>
        <v>1400304.4140030441</v>
      </c>
    </row>
    <row r="67" spans="1:7" s="37" customFormat="1" ht="11.4" hidden="1" outlineLevel="1" x14ac:dyDescent="0.3">
      <c r="A67" s="29"/>
      <c r="B67" s="31" t="s">
        <v>73</v>
      </c>
      <c r="C67" s="113" t="s">
        <v>74</v>
      </c>
      <c r="D67" s="34">
        <f t="shared" si="3"/>
        <v>7.666666666666667</v>
      </c>
      <c r="E67" s="34">
        <f>SUM(E64:E65)*100</f>
        <v>200</v>
      </c>
      <c r="F67" s="35">
        <v>1045</v>
      </c>
      <c r="G67" s="36">
        <f t="shared" si="2"/>
        <v>1602333.3333333335</v>
      </c>
    </row>
    <row r="68" spans="1:7" s="37" customFormat="1" ht="11.4" hidden="1" outlineLevel="1" x14ac:dyDescent="0.3">
      <c r="A68" s="29"/>
      <c r="B68" s="115" t="s">
        <v>75</v>
      </c>
      <c r="C68" s="113" t="s">
        <v>9</v>
      </c>
      <c r="D68" s="34">
        <f t="shared" si="3"/>
        <v>7.666666666666667</v>
      </c>
      <c r="E68" s="34">
        <f>SUM(E64:E66)</f>
        <v>3</v>
      </c>
      <c r="F68" s="35">
        <v>25010</v>
      </c>
      <c r="G68" s="36">
        <f t="shared" si="2"/>
        <v>575230</v>
      </c>
    </row>
    <row r="69" spans="1:7" s="37" customFormat="1" ht="11.4" hidden="1" outlineLevel="1" x14ac:dyDescent="0.3">
      <c r="A69" s="29"/>
      <c r="B69" s="115" t="s">
        <v>76</v>
      </c>
      <c r="C69" s="113" t="s">
        <v>9</v>
      </c>
      <c r="D69" s="34">
        <f t="shared" si="3"/>
        <v>7.666666666666667</v>
      </c>
      <c r="E69" s="34">
        <f>E68</f>
        <v>3</v>
      </c>
      <c r="F69" s="35">
        <v>12500</v>
      </c>
      <c r="G69" s="36">
        <f t="shared" si="2"/>
        <v>287500</v>
      </c>
    </row>
    <row r="70" spans="1:7" s="21" customFormat="1" hidden="1" outlineLevel="1" x14ac:dyDescent="0.3">
      <c r="A70" s="116"/>
      <c r="B70" s="117"/>
      <c r="C70" s="118"/>
      <c r="D70" s="25"/>
      <c r="E70" s="25"/>
      <c r="F70" s="119"/>
      <c r="G70" s="120">
        <f>F70*E70</f>
        <v>0</v>
      </c>
    </row>
    <row r="71" spans="1:7" ht="26.4" collapsed="1" x14ac:dyDescent="0.3">
      <c r="A71" s="109">
        <v>203</v>
      </c>
      <c r="B71" s="110" t="s">
        <v>77</v>
      </c>
      <c r="C71" s="111" t="s">
        <v>59</v>
      </c>
      <c r="D71" s="25">
        <v>1</v>
      </c>
      <c r="E71" s="112">
        <f>3.5*(250+104)</f>
        <v>1239</v>
      </c>
      <c r="F71" s="27">
        <v>12260</v>
      </c>
      <c r="G71" s="28">
        <f>F71*E71</f>
        <v>15190140</v>
      </c>
    </row>
    <row r="72" spans="1:7" s="37" customFormat="1" ht="11.4" hidden="1" outlineLevel="1" x14ac:dyDescent="0.3">
      <c r="A72" s="29"/>
      <c r="B72" s="31" t="s">
        <v>78</v>
      </c>
      <c r="C72" s="113"/>
      <c r="D72" s="34"/>
      <c r="E72" s="34"/>
      <c r="F72" s="35"/>
      <c r="G72" s="36"/>
    </row>
    <row r="73" spans="1:7" s="37" customFormat="1" ht="11.4" hidden="1" outlineLevel="1" x14ac:dyDescent="0.3">
      <c r="A73" s="29"/>
      <c r="B73" s="31" t="s">
        <v>79</v>
      </c>
      <c r="C73" s="113" t="s">
        <v>65</v>
      </c>
      <c r="D73" s="34"/>
      <c r="E73" s="34">
        <f>250+104</f>
        <v>354</v>
      </c>
      <c r="F73" s="35"/>
      <c r="G73" s="36"/>
    </row>
    <row r="74" spans="1:7" s="37" customFormat="1" ht="11.4" hidden="1" outlineLevel="1" x14ac:dyDescent="0.3">
      <c r="A74" s="29"/>
      <c r="B74" s="121" t="s">
        <v>80</v>
      </c>
      <c r="C74" s="113" t="s">
        <v>81</v>
      </c>
      <c r="D74" s="34"/>
      <c r="E74" s="34">
        <v>0.66666666666666663</v>
      </c>
      <c r="F74" s="35"/>
      <c r="G74" s="36"/>
    </row>
    <row r="75" spans="1:7" s="37" customFormat="1" ht="11.4" hidden="1" outlineLevel="1" x14ac:dyDescent="0.3">
      <c r="A75" s="29"/>
      <c r="B75" s="31" t="s">
        <v>82</v>
      </c>
      <c r="C75" s="113" t="s">
        <v>65</v>
      </c>
      <c r="D75" s="34"/>
      <c r="E75" s="34">
        <v>3.5</v>
      </c>
      <c r="F75" s="35"/>
      <c r="G75" s="36"/>
    </row>
    <row r="76" spans="1:7" s="37" customFormat="1" ht="11.4" hidden="1" outlineLevel="1" x14ac:dyDescent="0.3">
      <c r="A76" s="29"/>
      <c r="B76" s="31" t="s">
        <v>83</v>
      </c>
      <c r="C76" s="113" t="s">
        <v>65</v>
      </c>
      <c r="D76" s="34"/>
      <c r="E76" s="34">
        <f>+E75*E74</f>
        <v>2.333333333333333</v>
      </c>
      <c r="F76" s="35"/>
      <c r="G76" s="36"/>
    </row>
    <row r="77" spans="1:7" s="37" customFormat="1" ht="11.4" hidden="1" outlineLevel="1" x14ac:dyDescent="0.3">
      <c r="A77" s="29"/>
      <c r="B77" s="31" t="s">
        <v>84</v>
      </c>
      <c r="C77" s="113" t="s">
        <v>59</v>
      </c>
      <c r="D77" s="34"/>
      <c r="E77" s="34">
        <f>+(E76*E75)/2</f>
        <v>4.083333333333333</v>
      </c>
      <c r="F77" s="35"/>
      <c r="G77" s="36"/>
    </row>
    <row r="78" spans="1:7" s="37" customFormat="1" ht="15" hidden="1" outlineLevel="1" x14ac:dyDescent="0.3">
      <c r="A78" s="29"/>
      <c r="B78" s="31" t="s">
        <v>85</v>
      </c>
      <c r="C78" s="111" t="s">
        <v>63</v>
      </c>
      <c r="D78" s="34"/>
      <c r="E78" s="34">
        <f>E77*E73</f>
        <v>1445.5</v>
      </c>
      <c r="F78" s="35"/>
      <c r="G78" s="36"/>
    </row>
    <row r="79" spans="1:7" s="37" customFormat="1" hidden="1" outlineLevel="1" x14ac:dyDescent="0.3">
      <c r="A79" s="29"/>
      <c r="B79" s="31" t="s">
        <v>86</v>
      </c>
      <c r="C79" s="111" t="s">
        <v>20</v>
      </c>
      <c r="D79" s="34">
        <f>E78/(12*10*E81)</f>
        <v>6.0229166666666663</v>
      </c>
      <c r="E79" s="34">
        <v>2</v>
      </c>
      <c r="F79" s="35">
        <v>288461.53846153844</v>
      </c>
      <c r="G79" s="36">
        <f t="shared" ref="G79:G84" si="4">F79*E79*D79</f>
        <v>3474759.615384615</v>
      </c>
    </row>
    <row r="80" spans="1:7" s="37" customFormat="1" hidden="1" outlineLevel="1" x14ac:dyDescent="0.3">
      <c r="A80" s="29"/>
      <c r="B80" s="31" t="s">
        <v>87</v>
      </c>
      <c r="C80" s="111" t="s">
        <v>20</v>
      </c>
      <c r="D80" s="34">
        <f>$D$79</f>
        <v>6.0229166666666663</v>
      </c>
      <c r="E80" s="34">
        <v>1</v>
      </c>
      <c r="F80" s="35">
        <v>288461.53846153844</v>
      </c>
      <c r="G80" s="36">
        <f t="shared" si="4"/>
        <v>1737379.8076923075</v>
      </c>
    </row>
    <row r="81" spans="1:7" s="37" customFormat="1" ht="11.4" hidden="1" outlineLevel="1" x14ac:dyDescent="0.3">
      <c r="A81" s="29"/>
      <c r="B81" s="31" t="s">
        <v>72</v>
      </c>
      <c r="C81" s="113" t="s">
        <v>20</v>
      </c>
      <c r="D81" s="34">
        <f t="shared" ref="D81:D84" si="5">$D$79</f>
        <v>6.0229166666666663</v>
      </c>
      <c r="E81" s="34">
        <v>2</v>
      </c>
      <c r="F81" s="35">
        <v>182648.40182648401</v>
      </c>
      <c r="G81" s="36">
        <f t="shared" si="4"/>
        <v>2200152.2070015217</v>
      </c>
    </row>
    <row r="82" spans="1:7" s="37" customFormat="1" ht="11.4" hidden="1" outlineLevel="1" x14ac:dyDescent="0.3">
      <c r="A82" s="29"/>
      <c r="B82" s="31" t="s">
        <v>73</v>
      </c>
      <c r="C82" s="113" t="s">
        <v>74</v>
      </c>
      <c r="D82" s="34">
        <f t="shared" si="5"/>
        <v>6.0229166666666663</v>
      </c>
      <c r="E82" s="34">
        <f>SUM(E79:E80)*100</f>
        <v>300</v>
      </c>
      <c r="F82" s="35">
        <v>1045</v>
      </c>
      <c r="G82" s="36">
        <f t="shared" si="4"/>
        <v>1888184.3749999998</v>
      </c>
    </row>
    <row r="83" spans="1:7" s="37" customFormat="1" ht="11.4" hidden="1" outlineLevel="1" x14ac:dyDescent="0.3">
      <c r="A83" s="29"/>
      <c r="B83" s="115" t="s">
        <v>75</v>
      </c>
      <c r="C83" s="113" t="s">
        <v>9</v>
      </c>
      <c r="D83" s="34">
        <f t="shared" si="5"/>
        <v>6.0229166666666663</v>
      </c>
      <c r="E83" s="34">
        <f>SUM(E79:E81)</f>
        <v>5</v>
      </c>
      <c r="F83" s="35">
        <v>25010</v>
      </c>
      <c r="G83" s="36">
        <f t="shared" si="4"/>
        <v>753165.72916666663</v>
      </c>
    </row>
    <row r="84" spans="1:7" s="37" customFormat="1" ht="11.4" hidden="1" outlineLevel="1" x14ac:dyDescent="0.3">
      <c r="A84" s="29"/>
      <c r="B84" s="115" t="s">
        <v>76</v>
      </c>
      <c r="C84" s="113" t="s">
        <v>9</v>
      </c>
      <c r="D84" s="34">
        <f t="shared" si="5"/>
        <v>6.0229166666666663</v>
      </c>
      <c r="E84" s="34">
        <f>E83</f>
        <v>5</v>
      </c>
      <c r="F84" s="35">
        <v>12500</v>
      </c>
      <c r="G84" s="36">
        <f t="shared" si="4"/>
        <v>376432.29166666663</v>
      </c>
    </row>
    <row r="85" spans="1:7" s="21" customFormat="1" hidden="1" outlineLevel="1" x14ac:dyDescent="0.3">
      <c r="A85" s="116"/>
      <c r="B85" s="117"/>
      <c r="C85" s="118"/>
      <c r="D85" s="25"/>
      <c r="E85" s="25"/>
      <c r="F85" s="119"/>
      <c r="G85" s="120">
        <f>F85*E85</f>
        <v>0</v>
      </c>
    </row>
    <row r="86" spans="1:7" collapsed="1" x14ac:dyDescent="0.3">
      <c r="A86" s="109">
        <v>204</v>
      </c>
      <c r="B86" s="110" t="s">
        <v>88</v>
      </c>
      <c r="C86" s="111" t="s">
        <v>59</v>
      </c>
      <c r="D86" s="25"/>
      <c r="E86" s="112">
        <f>1260*9.2</f>
        <v>11592</v>
      </c>
      <c r="F86" s="27">
        <v>1460</v>
      </c>
      <c r="G86" s="28">
        <f>F86*E86</f>
        <v>16924320</v>
      </c>
    </row>
    <row r="87" spans="1:7" s="37" customFormat="1" ht="11.4" hidden="1" outlineLevel="1" x14ac:dyDescent="0.3">
      <c r="A87" s="29"/>
      <c r="B87" s="31" t="s">
        <v>89</v>
      </c>
      <c r="C87" s="113" t="s">
        <v>59</v>
      </c>
      <c r="D87" s="34">
        <v>1</v>
      </c>
      <c r="E87" s="34">
        <f>E86</f>
        <v>11592</v>
      </c>
      <c r="F87" s="35"/>
      <c r="G87" s="36"/>
    </row>
    <row r="88" spans="1:7" s="37" customFormat="1" ht="11.4" hidden="1" outlineLevel="1" x14ac:dyDescent="0.3">
      <c r="A88" s="29"/>
      <c r="B88" s="31" t="s">
        <v>90</v>
      </c>
      <c r="C88" s="113" t="s">
        <v>20</v>
      </c>
      <c r="D88" s="34">
        <f>E87/(250*9.2)</f>
        <v>5.04</v>
      </c>
      <c r="E88" s="34">
        <v>1</v>
      </c>
      <c r="F88" s="35">
        <v>288461.53846153844</v>
      </c>
      <c r="G88" s="36">
        <f t="shared" ref="G88:G95" si="6">F88*E88*D88</f>
        <v>1453846.1538461538</v>
      </c>
    </row>
    <row r="89" spans="1:7" s="37" customFormat="1" ht="11.4" hidden="1" outlineLevel="1" x14ac:dyDescent="0.3">
      <c r="A89" s="29"/>
      <c r="B89" s="31" t="s">
        <v>91</v>
      </c>
      <c r="C89" s="113" t="s">
        <v>20</v>
      </c>
      <c r="D89" s="34">
        <f>$D$88</f>
        <v>5.04</v>
      </c>
      <c r="E89" s="34">
        <f>0.5</f>
        <v>0.5</v>
      </c>
      <c r="F89" s="35">
        <v>192307.69230769231</v>
      </c>
      <c r="G89" s="36">
        <f t="shared" si="6"/>
        <v>484615.38461538462</v>
      </c>
    </row>
    <row r="90" spans="1:7" s="37" customFormat="1" ht="11.4" hidden="1" outlineLevel="1" x14ac:dyDescent="0.3">
      <c r="A90" s="29"/>
      <c r="B90" s="31" t="s">
        <v>92</v>
      </c>
      <c r="C90" s="113" t="s">
        <v>20</v>
      </c>
      <c r="D90" s="34">
        <f t="shared" ref="D90:D96" si="7">$D$88</f>
        <v>5.04</v>
      </c>
      <c r="E90" s="34">
        <f>E88</f>
        <v>1</v>
      </c>
      <c r="F90" s="35">
        <v>307692.30769230769</v>
      </c>
      <c r="G90" s="36">
        <f t="shared" si="6"/>
        <v>1550769.2307692308</v>
      </c>
    </row>
    <row r="91" spans="1:7" s="37" customFormat="1" ht="11.4" hidden="1" outlineLevel="1" x14ac:dyDescent="0.3">
      <c r="A91" s="29"/>
      <c r="B91" s="31" t="s">
        <v>93</v>
      </c>
      <c r="C91" s="113" t="s">
        <v>20</v>
      </c>
      <c r="D91" s="34">
        <f t="shared" si="7"/>
        <v>5.04</v>
      </c>
      <c r="E91" s="34">
        <v>1</v>
      </c>
      <c r="F91" s="35">
        <v>307692.30769230769</v>
      </c>
      <c r="G91" s="36">
        <f t="shared" si="6"/>
        <v>1550769.2307692308</v>
      </c>
    </row>
    <row r="92" spans="1:7" s="37" customFormat="1" ht="11.4" hidden="1" outlineLevel="1" x14ac:dyDescent="0.3">
      <c r="A92" s="29"/>
      <c r="B92" s="31" t="s">
        <v>73</v>
      </c>
      <c r="C92" s="113" t="s">
        <v>74</v>
      </c>
      <c r="D92" s="34">
        <f t="shared" si="7"/>
        <v>5.04</v>
      </c>
      <c r="E92" s="34">
        <f>SUM(E88:E91)*100</f>
        <v>350</v>
      </c>
      <c r="F92" s="35">
        <v>1045</v>
      </c>
      <c r="G92" s="36">
        <f t="shared" si="6"/>
        <v>1843380</v>
      </c>
    </row>
    <row r="93" spans="1:7" s="37" customFormat="1" ht="11.4" hidden="1" outlineLevel="1" x14ac:dyDescent="0.3">
      <c r="A93" s="29"/>
      <c r="B93" s="31" t="s">
        <v>72</v>
      </c>
      <c r="C93" s="113" t="s">
        <v>20</v>
      </c>
      <c r="D93" s="34">
        <f t="shared" si="7"/>
        <v>5.04</v>
      </c>
      <c r="E93" s="34">
        <v>4</v>
      </c>
      <c r="F93" s="35">
        <v>182648.40182648401</v>
      </c>
      <c r="G93" s="36">
        <f t="shared" si="6"/>
        <v>3682191.7808219176</v>
      </c>
    </row>
    <row r="94" spans="1:7" s="37" customFormat="1" ht="11.4" hidden="1" outlineLevel="1" x14ac:dyDescent="0.3">
      <c r="A94" s="29"/>
      <c r="B94" s="115" t="s">
        <v>75</v>
      </c>
      <c r="C94" s="113" t="s">
        <v>9</v>
      </c>
      <c r="D94" s="34">
        <f t="shared" si="7"/>
        <v>5.04</v>
      </c>
      <c r="E94" s="34">
        <f>SUM(E88:E91)</f>
        <v>3.5</v>
      </c>
      <c r="F94" s="35">
        <v>25010</v>
      </c>
      <c r="G94" s="36">
        <f t="shared" si="6"/>
        <v>441176.4</v>
      </c>
    </row>
    <row r="95" spans="1:7" s="37" customFormat="1" ht="11.4" hidden="1" outlineLevel="1" x14ac:dyDescent="0.3">
      <c r="A95" s="29"/>
      <c r="B95" s="115" t="s">
        <v>76</v>
      </c>
      <c r="C95" s="113" t="s">
        <v>9</v>
      </c>
      <c r="D95" s="34">
        <f t="shared" si="7"/>
        <v>5.04</v>
      </c>
      <c r="E95" s="34">
        <f>E94</f>
        <v>3.5</v>
      </c>
      <c r="F95" s="35">
        <v>12500</v>
      </c>
      <c r="G95" s="36">
        <f t="shared" si="6"/>
        <v>220500</v>
      </c>
    </row>
    <row r="96" spans="1:7" s="37" customFormat="1" ht="11.4" hidden="1" outlineLevel="1" x14ac:dyDescent="0.3">
      <c r="A96" s="29"/>
      <c r="B96" s="31" t="s">
        <v>94</v>
      </c>
      <c r="C96" s="113" t="s">
        <v>95</v>
      </c>
      <c r="D96" s="34">
        <f t="shared" si="7"/>
        <v>5.04</v>
      </c>
      <c r="E96" s="34">
        <v>0.5</v>
      </c>
      <c r="F96" s="35">
        <v>150000</v>
      </c>
      <c r="G96" s="36">
        <f>F96*D96*E96</f>
        <v>378000</v>
      </c>
    </row>
    <row r="97" spans="1:8" s="21" customFormat="1" hidden="1" outlineLevel="1" x14ac:dyDescent="0.3">
      <c r="A97" s="116"/>
      <c r="B97" s="117"/>
      <c r="C97" s="118"/>
      <c r="D97" s="25"/>
      <c r="E97" s="25"/>
      <c r="F97" s="119"/>
      <c r="G97" s="120">
        <f>F97*E97</f>
        <v>0</v>
      </c>
    </row>
    <row r="98" spans="1:8" collapsed="1" x14ac:dyDescent="0.3">
      <c r="A98" s="94"/>
      <c r="B98" s="95"/>
      <c r="C98" s="95"/>
      <c r="D98" s="25"/>
      <c r="E98" s="96"/>
      <c r="F98" s="97"/>
      <c r="G98" s="98">
        <f>SUM(G57,G58,G71,G86)</f>
        <v>47488860</v>
      </c>
    </row>
    <row r="99" spans="1:8" x14ac:dyDescent="0.3">
      <c r="A99" s="99" t="s">
        <v>96</v>
      </c>
      <c r="B99" s="100"/>
      <c r="C99" s="100"/>
      <c r="D99" s="101"/>
      <c r="E99" s="102"/>
      <c r="F99" s="103"/>
      <c r="G99" s="104"/>
    </row>
    <row r="100" spans="1:8" x14ac:dyDescent="0.3">
      <c r="A100" s="105" t="s">
        <v>7</v>
      </c>
      <c r="B100" s="106" t="s">
        <v>8</v>
      </c>
      <c r="C100" s="106" t="s">
        <v>9</v>
      </c>
      <c r="D100" s="25"/>
      <c r="E100" s="107" t="s">
        <v>11</v>
      </c>
      <c r="F100" s="108"/>
      <c r="G100" s="28"/>
    </row>
    <row r="101" spans="1:8" ht="15" x14ac:dyDescent="0.3">
      <c r="A101" s="109">
        <v>301</v>
      </c>
      <c r="B101" s="110" t="s">
        <v>97</v>
      </c>
      <c r="C101" s="111" t="s">
        <v>63</v>
      </c>
      <c r="D101" s="25"/>
      <c r="E101" s="112">
        <f>1260*7*0.2</f>
        <v>1764</v>
      </c>
      <c r="F101" s="27">
        <v>21540</v>
      </c>
      <c r="G101" s="28">
        <f>F101*E101</f>
        <v>37996560</v>
      </c>
    </row>
    <row r="102" spans="1:8" ht="26.4" x14ac:dyDescent="0.3">
      <c r="A102" s="109">
        <v>302</v>
      </c>
      <c r="B102" s="110" t="s">
        <v>98</v>
      </c>
      <c r="C102" s="111" t="s">
        <v>63</v>
      </c>
      <c r="D102" s="33"/>
      <c r="E102" s="122">
        <f>1260*7*0.2</f>
        <v>1764</v>
      </c>
      <c r="F102" s="27">
        <v>75240</v>
      </c>
      <c r="G102" s="28">
        <f>F102*E102</f>
        <v>132723360</v>
      </c>
      <c r="H102" s="13"/>
    </row>
    <row r="103" spans="1:8" ht="26.4" x14ac:dyDescent="0.3">
      <c r="A103" s="109">
        <v>303</v>
      </c>
      <c r="B103" s="110" t="s">
        <v>99</v>
      </c>
      <c r="C103" s="111" t="s">
        <v>63</v>
      </c>
      <c r="D103" s="33"/>
      <c r="E103" s="122">
        <f>1260*6*0.15</f>
        <v>1134</v>
      </c>
      <c r="F103" s="27">
        <v>339590</v>
      </c>
      <c r="G103" s="28">
        <f>F103*E103</f>
        <v>385095060</v>
      </c>
      <c r="H103" s="123"/>
    </row>
    <row r="104" spans="1:8" ht="39.6" x14ac:dyDescent="0.3">
      <c r="A104" s="109">
        <v>304</v>
      </c>
      <c r="B104" s="110" t="s">
        <v>100</v>
      </c>
      <c r="C104" s="111" t="s">
        <v>59</v>
      </c>
      <c r="D104" s="33"/>
      <c r="E104" s="112">
        <f>1260*1.4</f>
        <v>1764</v>
      </c>
      <c r="F104" s="27">
        <v>25700</v>
      </c>
      <c r="G104" s="28">
        <f>F104*E104</f>
        <v>45334800</v>
      </c>
    </row>
    <row r="105" spans="1:8" x14ac:dyDescent="0.3">
      <c r="A105" s="109">
        <v>305</v>
      </c>
      <c r="B105" s="110" t="s">
        <v>101</v>
      </c>
      <c r="C105" s="111" t="s">
        <v>65</v>
      </c>
      <c r="D105" s="33"/>
      <c r="E105" s="112">
        <f>175</f>
        <v>175</v>
      </c>
      <c r="F105" s="27">
        <v>472920</v>
      </c>
      <c r="G105" s="28">
        <f>F105*E105</f>
        <v>82761000</v>
      </c>
    </row>
    <row r="106" spans="1:8" x14ac:dyDescent="0.3">
      <c r="A106" s="94"/>
      <c r="B106" s="95"/>
      <c r="C106" s="95"/>
      <c r="D106" s="33"/>
      <c r="E106" s="96"/>
      <c r="F106" s="97"/>
      <c r="G106" s="98">
        <f>SUM(G101,G102,G103,G104,G105)</f>
        <v>683910780</v>
      </c>
    </row>
    <row r="107" spans="1:8" x14ac:dyDescent="0.3">
      <c r="A107" s="99" t="s">
        <v>102</v>
      </c>
      <c r="B107" s="100"/>
      <c r="C107" s="100"/>
      <c r="D107" s="124"/>
      <c r="E107" s="102"/>
      <c r="F107" s="103"/>
      <c r="G107" s="104"/>
    </row>
    <row r="108" spans="1:8" x14ac:dyDescent="0.3">
      <c r="A108" s="105" t="s">
        <v>7</v>
      </c>
      <c r="B108" s="106" t="s">
        <v>8</v>
      </c>
      <c r="C108" s="106" t="s">
        <v>9</v>
      </c>
      <c r="D108" s="33"/>
      <c r="E108" s="107" t="s">
        <v>11</v>
      </c>
      <c r="F108" s="108"/>
      <c r="G108" s="28"/>
    </row>
    <row r="109" spans="1:8" x14ac:dyDescent="0.3">
      <c r="A109" s="84">
        <v>401</v>
      </c>
      <c r="B109" s="85" t="s">
        <v>103</v>
      </c>
      <c r="C109" s="111"/>
      <c r="D109" s="33"/>
      <c r="E109" s="112"/>
      <c r="F109" s="27"/>
      <c r="G109" s="28"/>
    </row>
    <row r="110" spans="1:8" s="81" customFormat="1" ht="39.6" x14ac:dyDescent="0.3">
      <c r="A110" s="87">
        <v>1</v>
      </c>
      <c r="B110" s="88" t="s">
        <v>104</v>
      </c>
      <c r="C110" s="89" t="s">
        <v>65</v>
      </c>
      <c r="D110" s="77">
        <v>1</v>
      </c>
      <c r="E110" s="112">
        <v>60</v>
      </c>
      <c r="F110" s="125">
        <v>107000</v>
      </c>
      <c r="G110" s="172">
        <f>F110*E110</f>
        <v>6420000</v>
      </c>
    </row>
    <row r="111" spans="1:8" s="81" customFormat="1" ht="52.8" x14ac:dyDescent="0.3">
      <c r="A111" s="87">
        <v>2</v>
      </c>
      <c r="B111" s="88" t="s">
        <v>105</v>
      </c>
      <c r="C111" s="89" t="s">
        <v>65</v>
      </c>
      <c r="D111" s="77">
        <v>1</v>
      </c>
      <c r="E111" s="112">
        <v>306</v>
      </c>
      <c r="F111" s="125">
        <v>119000</v>
      </c>
      <c r="G111" s="172">
        <f t="shared" ref="G111:G135" si="8">F111*E111</f>
        <v>36414000</v>
      </c>
    </row>
    <row r="112" spans="1:8" s="81" customFormat="1" ht="26.4" x14ac:dyDescent="0.3">
      <c r="A112" s="87">
        <v>3</v>
      </c>
      <c r="B112" s="88" t="s">
        <v>106</v>
      </c>
      <c r="C112" s="89" t="s">
        <v>65</v>
      </c>
      <c r="D112" s="77">
        <v>1</v>
      </c>
      <c r="E112" s="122">
        <v>423.6</v>
      </c>
      <c r="F112" s="125">
        <v>509400</v>
      </c>
      <c r="G112" s="172">
        <f t="shared" si="8"/>
        <v>215781840</v>
      </c>
    </row>
    <row r="113" spans="1:7" s="81" customFormat="1" hidden="1" outlineLevel="1" x14ac:dyDescent="0.3">
      <c r="A113" s="87"/>
      <c r="B113" s="69" t="s">
        <v>107</v>
      </c>
      <c r="C113" s="89" t="s">
        <v>108</v>
      </c>
      <c r="D113" s="77">
        <v>1</v>
      </c>
      <c r="E113" s="112">
        <v>279.57600000000002</v>
      </c>
      <c r="F113" s="125">
        <v>120000</v>
      </c>
      <c r="G113" s="172">
        <f t="shared" si="8"/>
        <v>33549120.000000004</v>
      </c>
    </row>
    <row r="114" spans="1:7" s="81" customFormat="1" hidden="1" outlineLevel="1" x14ac:dyDescent="0.3">
      <c r="A114" s="87"/>
      <c r="B114" s="69" t="s">
        <v>109</v>
      </c>
      <c r="C114" s="89" t="s">
        <v>108</v>
      </c>
      <c r="D114" s="77">
        <v>1</v>
      </c>
      <c r="E114" s="112">
        <v>169.44000000000003</v>
      </c>
      <c r="F114" s="125">
        <v>120000</v>
      </c>
      <c r="G114" s="172">
        <f t="shared" si="8"/>
        <v>20332800.000000004</v>
      </c>
    </row>
    <row r="115" spans="1:7" s="81" customFormat="1" hidden="1" outlineLevel="1" x14ac:dyDescent="0.3">
      <c r="A115" s="87"/>
      <c r="B115" s="69" t="s">
        <v>110</v>
      </c>
      <c r="C115" s="89" t="s">
        <v>111</v>
      </c>
      <c r="D115" s="77">
        <v>1</v>
      </c>
      <c r="E115" s="112">
        <v>26940.960000000006</v>
      </c>
      <c r="F115" s="125">
        <v>700</v>
      </c>
      <c r="G115" s="172">
        <f t="shared" si="8"/>
        <v>18858672.000000004</v>
      </c>
    </row>
    <row r="116" spans="1:7" s="81" customFormat="1" hidden="1" outlineLevel="1" x14ac:dyDescent="0.3">
      <c r="A116" s="87"/>
      <c r="B116" s="69" t="s">
        <v>112</v>
      </c>
      <c r="C116" s="89" t="s">
        <v>111</v>
      </c>
      <c r="D116" s="77">
        <v>1</v>
      </c>
      <c r="E116" s="112">
        <v>404.1144000000001</v>
      </c>
      <c r="F116" s="125">
        <v>1500</v>
      </c>
      <c r="G116" s="172">
        <f t="shared" si="8"/>
        <v>606171.60000000021</v>
      </c>
    </row>
    <row r="117" spans="1:7" s="81" customFormat="1" hidden="1" outlineLevel="1" x14ac:dyDescent="0.3">
      <c r="A117" s="87"/>
      <c r="B117" s="69" t="s">
        <v>113</v>
      </c>
      <c r="C117" s="89" t="s">
        <v>59</v>
      </c>
      <c r="D117" s="77">
        <v>1</v>
      </c>
      <c r="E117" s="112">
        <v>2965.2000000000003</v>
      </c>
      <c r="F117" s="125"/>
      <c r="G117" s="172">
        <f t="shared" si="8"/>
        <v>0</v>
      </c>
    </row>
    <row r="118" spans="1:7" s="81" customFormat="1" hidden="1" outlineLevel="1" x14ac:dyDescent="0.3">
      <c r="A118" s="87"/>
      <c r="B118" s="69" t="s">
        <v>114</v>
      </c>
      <c r="C118" s="89" t="s">
        <v>20</v>
      </c>
      <c r="D118" s="77">
        <v>1</v>
      </c>
      <c r="E118" s="112">
        <v>973</v>
      </c>
      <c r="F118" s="125">
        <v>22500</v>
      </c>
      <c r="G118" s="172">
        <f t="shared" si="8"/>
        <v>21892500</v>
      </c>
    </row>
    <row r="119" spans="1:7" s="81" customFormat="1" hidden="1" outlineLevel="1" x14ac:dyDescent="0.3">
      <c r="A119" s="87"/>
      <c r="B119" s="69" t="s">
        <v>115</v>
      </c>
      <c r="C119" s="89" t="s">
        <v>20</v>
      </c>
      <c r="D119" s="77">
        <v>1</v>
      </c>
      <c r="E119" s="112">
        <v>848</v>
      </c>
      <c r="F119" s="125">
        <v>6500</v>
      </c>
      <c r="G119" s="172">
        <f t="shared" si="8"/>
        <v>5512000</v>
      </c>
    </row>
    <row r="120" spans="1:7" s="81" customFormat="1" hidden="1" outlineLevel="1" x14ac:dyDescent="0.3">
      <c r="A120" s="87"/>
      <c r="B120" s="69" t="s">
        <v>116</v>
      </c>
      <c r="C120" s="89" t="s">
        <v>20</v>
      </c>
      <c r="D120" s="77">
        <v>1</v>
      </c>
      <c r="E120" s="112">
        <v>741.30000000000007</v>
      </c>
      <c r="F120" s="125">
        <v>1250</v>
      </c>
      <c r="G120" s="172">
        <f t="shared" si="8"/>
        <v>926625.00000000012</v>
      </c>
    </row>
    <row r="121" spans="1:7" s="81" customFormat="1" hidden="1" outlineLevel="1" x14ac:dyDescent="0.3">
      <c r="A121" s="87"/>
      <c r="B121" s="69" t="s">
        <v>117</v>
      </c>
      <c r="C121" s="89" t="s">
        <v>20</v>
      </c>
      <c r="D121" s="77">
        <f>ROUNDUP(SUM(E113:E114)/40,0)+1</f>
        <v>13</v>
      </c>
      <c r="E121" s="112">
        <v>150</v>
      </c>
      <c r="F121" s="125">
        <v>500</v>
      </c>
      <c r="G121" s="172">
        <f t="shared" si="8"/>
        <v>75000</v>
      </c>
    </row>
    <row r="122" spans="1:7" s="81" customFormat="1" hidden="1" outlineLevel="1" x14ac:dyDescent="0.3">
      <c r="A122" s="87"/>
      <c r="B122" s="69" t="s">
        <v>118</v>
      </c>
      <c r="C122" s="89" t="s">
        <v>111</v>
      </c>
      <c r="D122" s="77">
        <v>1</v>
      </c>
      <c r="E122" s="112">
        <v>1186.0800000000002</v>
      </c>
      <c r="F122" s="125">
        <v>1800</v>
      </c>
      <c r="G122" s="172">
        <f t="shared" si="8"/>
        <v>2134944.0000000005</v>
      </c>
    </row>
    <row r="123" spans="1:7" s="81" customFormat="1" hidden="1" outlineLevel="1" x14ac:dyDescent="0.3">
      <c r="A123" s="87"/>
      <c r="B123" s="69" t="s">
        <v>119</v>
      </c>
      <c r="C123" s="89" t="s">
        <v>120</v>
      </c>
      <c r="D123" s="77">
        <v>1</v>
      </c>
      <c r="E123" s="112">
        <v>2</v>
      </c>
      <c r="F123" s="125">
        <v>1050000</v>
      </c>
      <c r="G123" s="172">
        <f t="shared" si="8"/>
        <v>2100000</v>
      </c>
    </row>
    <row r="124" spans="1:7" s="81" customFormat="1" hidden="1" outlineLevel="1" x14ac:dyDescent="0.3">
      <c r="A124" s="87"/>
      <c r="B124" s="69" t="s">
        <v>121</v>
      </c>
      <c r="C124" s="89" t="s">
        <v>108</v>
      </c>
      <c r="D124" s="77">
        <v>1</v>
      </c>
      <c r="E124" s="112">
        <v>449.01600000000008</v>
      </c>
      <c r="F124" s="125">
        <v>39000</v>
      </c>
      <c r="G124" s="172">
        <f t="shared" si="8"/>
        <v>17511624.000000004</v>
      </c>
    </row>
    <row r="125" spans="1:7" s="81" customFormat="1" hidden="1" outlineLevel="1" x14ac:dyDescent="0.3">
      <c r="A125" s="87"/>
      <c r="B125" s="126" t="s">
        <v>122</v>
      </c>
      <c r="C125" s="89" t="s">
        <v>108</v>
      </c>
      <c r="D125" s="77">
        <v>1</v>
      </c>
      <c r="E125" s="112">
        <v>52.95</v>
      </c>
      <c r="F125" s="125"/>
      <c r="G125" s="172">
        <f t="shared" si="8"/>
        <v>0</v>
      </c>
    </row>
    <row r="126" spans="1:7" s="81" customFormat="1" hidden="1" outlineLevel="1" x14ac:dyDescent="0.3">
      <c r="A126" s="87"/>
      <c r="B126" s="69" t="s">
        <v>123</v>
      </c>
      <c r="C126" s="89" t="s">
        <v>124</v>
      </c>
      <c r="D126" s="77">
        <v>1</v>
      </c>
      <c r="E126" s="112">
        <v>105.9</v>
      </c>
      <c r="F126" s="125">
        <v>22000</v>
      </c>
      <c r="G126" s="172">
        <f t="shared" si="8"/>
        <v>2329800</v>
      </c>
    </row>
    <row r="127" spans="1:7" s="81" customFormat="1" hidden="1" outlineLevel="1" x14ac:dyDescent="0.3">
      <c r="A127" s="87"/>
      <c r="B127" s="69" t="s">
        <v>125</v>
      </c>
      <c r="C127" s="89" t="s">
        <v>108</v>
      </c>
      <c r="D127" s="77">
        <v>1</v>
      </c>
      <c r="E127" s="112">
        <v>2.6475000000000004</v>
      </c>
      <c r="F127" s="125">
        <v>110000</v>
      </c>
      <c r="G127" s="172">
        <f t="shared" si="8"/>
        <v>291225.00000000006</v>
      </c>
    </row>
    <row r="128" spans="1:7" s="81" customFormat="1" hidden="1" outlineLevel="1" x14ac:dyDescent="0.3">
      <c r="A128" s="87"/>
      <c r="B128" s="69" t="s">
        <v>126</v>
      </c>
      <c r="C128" s="89" t="s">
        <v>108</v>
      </c>
      <c r="D128" s="77">
        <v>1</v>
      </c>
      <c r="E128" s="112">
        <v>1059</v>
      </c>
      <c r="F128" s="125">
        <v>20000</v>
      </c>
      <c r="G128" s="172">
        <f t="shared" si="8"/>
        <v>21180000</v>
      </c>
    </row>
    <row r="129" spans="1:16" s="81" customFormat="1" hidden="1" outlineLevel="1" x14ac:dyDescent="0.3">
      <c r="A129" s="87"/>
      <c r="B129" s="69"/>
      <c r="C129" s="89"/>
      <c r="D129" s="77"/>
      <c r="E129" s="112"/>
      <c r="F129" s="125"/>
      <c r="G129" s="172">
        <f t="shared" si="8"/>
        <v>0</v>
      </c>
    </row>
    <row r="130" spans="1:16" s="81" customFormat="1" collapsed="1" x14ac:dyDescent="0.3">
      <c r="A130" s="87">
        <v>4</v>
      </c>
      <c r="B130" s="69" t="s">
        <v>127</v>
      </c>
      <c r="C130" s="89" t="s">
        <v>20</v>
      </c>
      <c r="D130" s="77">
        <v>1</v>
      </c>
      <c r="E130" s="112">
        <v>7</v>
      </c>
      <c r="F130" s="125">
        <v>782080</v>
      </c>
      <c r="G130" s="172">
        <f t="shared" si="8"/>
        <v>5474560</v>
      </c>
    </row>
    <row r="131" spans="1:16" s="21" customFormat="1" x14ac:dyDescent="0.3">
      <c r="A131" s="87">
        <v>5</v>
      </c>
      <c r="B131" s="127" t="s">
        <v>58</v>
      </c>
      <c r="C131" s="92" t="s">
        <v>59</v>
      </c>
      <c r="D131" s="93">
        <v>1</v>
      </c>
      <c r="E131" s="112">
        <v>500</v>
      </c>
      <c r="F131" s="125">
        <v>30000</v>
      </c>
      <c r="G131" s="172">
        <f t="shared" si="8"/>
        <v>15000000</v>
      </c>
    </row>
    <row r="132" spans="1:16" s="21" customFormat="1" x14ac:dyDescent="0.3">
      <c r="A132" s="22">
        <f>A109+1</f>
        <v>402</v>
      </c>
      <c r="B132" s="23" t="s">
        <v>128</v>
      </c>
      <c r="C132" s="111" t="s">
        <v>65</v>
      </c>
      <c r="D132" s="33"/>
      <c r="E132" s="112">
        <v>2670</v>
      </c>
      <c r="F132" s="125">
        <v>30000</v>
      </c>
      <c r="G132" s="172">
        <f t="shared" si="8"/>
        <v>80100000</v>
      </c>
    </row>
    <row r="133" spans="1:16" s="21" customFormat="1" x14ac:dyDescent="0.3">
      <c r="A133" s="109">
        <v>403</v>
      </c>
      <c r="B133" s="110" t="s">
        <v>129</v>
      </c>
      <c r="C133" s="111" t="s">
        <v>65</v>
      </c>
      <c r="D133" s="33"/>
      <c r="E133" s="112">
        <v>1335</v>
      </c>
      <c r="F133" s="125">
        <v>98090</v>
      </c>
      <c r="G133" s="172">
        <f t="shared" si="8"/>
        <v>130950150</v>
      </c>
    </row>
    <row r="134" spans="1:16" s="21" customFormat="1" x14ac:dyDescent="0.3">
      <c r="A134" s="109">
        <v>404</v>
      </c>
      <c r="B134" s="110" t="s">
        <v>130</v>
      </c>
      <c r="C134" s="111" t="s">
        <v>131</v>
      </c>
      <c r="D134" s="33"/>
      <c r="E134" s="112">
        <v>185</v>
      </c>
      <c r="F134" s="125">
        <v>30000</v>
      </c>
      <c r="G134" s="172">
        <f t="shared" si="8"/>
        <v>5550000</v>
      </c>
    </row>
    <row r="135" spans="1:16" s="21" customFormat="1" x14ac:dyDescent="0.3">
      <c r="A135" s="134">
        <v>405</v>
      </c>
      <c r="B135" s="135" t="s">
        <v>132</v>
      </c>
      <c r="C135" s="136" t="s">
        <v>133</v>
      </c>
      <c r="D135" s="137"/>
      <c r="E135" s="138">
        <v>1</v>
      </c>
      <c r="F135" s="174">
        <v>148200481.5999999</v>
      </c>
      <c r="G135" s="173">
        <f t="shared" si="8"/>
        <v>148200481.5999999</v>
      </c>
    </row>
    <row r="136" spans="1:16" s="21" customFormat="1" ht="13.8" thickBot="1" x14ac:dyDescent="0.35">
      <c r="A136" s="128"/>
      <c r="B136" s="129"/>
      <c r="C136" s="130"/>
      <c r="D136" s="130"/>
      <c r="E136" s="131"/>
      <c r="F136" s="132"/>
      <c r="G136" s="133">
        <f>G110+G111+G112+G130+G131+G132+G133+G134+G135</f>
        <v>643891031.5999999</v>
      </c>
    </row>
    <row r="137" spans="1:16" x14ac:dyDescent="0.3">
      <c r="A137" s="162" t="s">
        <v>134</v>
      </c>
      <c r="B137" s="163"/>
      <c r="C137" s="163"/>
      <c r="D137" s="163"/>
      <c r="E137" s="163"/>
      <c r="F137" s="164"/>
      <c r="G137" s="140">
        <f>SUM(G136,G106,G98,G54)</f>
        <v>1536810671.5999999</v>
      </c>
    </row>
    <row r="138" spans="1:16" x14ac:dyDescent="0.3">
      <c r="A138" s="165" t="s">
        <v>135</v>
      </c>
      <c r="B138" s="166"/>
      <c r="C138" s="166"/>
      <c r="D138" s="166"/>
      <c r="E138" s="166"/>
      <c r="F138" s="166"/>
      <c r="G138" s="140">
        <f>ROUNDUP(0.18*G137,0)</f>
        <v>276625921</v>
      </c>
    </row>
    <row r="139" spans="1:16" x14ac:dyDescent="0.3">
      <c r="A139" s="167" t="s">
        <v>136</v>
      </c>
      <c r="B139" s="168"/>
      <c r="C139" s="168"/>
      <c r="D139" s="168"/>
      <c r="E139" s="168"/>
      <c r="F139" s="168"/>
      <c r="G139" s="141">
        <f>ROUNDDOWN(G137*1%,0)</f>
        <v>15368106</v>
      </c>
    </row>
    <row r="140" spans="1:16" ht="13.8" thickBot="1" x14ac:dyDescent="0.35">
      <c r="A140" s="169" t="s">
        <v>137</v>
      </c>
      <c r="B140" s="170"/>
      <c r="C140" s="170"/>
      <c r="D140" s="170"/>
      <c r="E140" s="170"/>
      <c r="F140" s="170"/>
      <c r="G140" s="142">
        <f>G137+G138+G139</f>
        <v>1828804698.5999999</v>
      </c>
    </row>
    <row r="141" spans="1:16" s="2" customFormat="1" x14ac:dyDescent="0.3">
      <c r="A141" s="13"/>
      <c r="B141" s="13"/>
      <c r="C141" s="13"/>
      <c r="D141" s="13"/>
      <c r="E141" s="13"/>
      <c r="F141" s="13"/>
      <c r="G141" s="13"/>
      <c r="H141" s="21"/>
    </row>
    <row r="142" spans="1:16" x14ac:dyDescent="0.3">
      <c r="A142" s="143"/>
      <c r="B142" s="13" t="s">
        <v>140</v>
      </c>
      <c r="E142" s="143"/>
      <c r="F142" s="144"/>
      <c r="H142" s="145"/>
      <c r="I142" s="146"/>
      <c r="J142" s="146"/>
      <c r="K142" s="146"/>
      <c r="L142" s="146"/>
      <c r="M142" s="147"/>
      <c r="N142" s="146"/>
      <c r="O142" s="21"/>
      <c r="P142" s="21"/>
    </row>
    <row r="143" spans="1:16" x14ac:dyDescent="0.3">
      <c r="A143" s="171" t="s">
        <v>141</v>
      </c>
      <c r="B143" s="171"/>
      <c r="C143" s="171"/>
      <c r="D143" s="171"/>
      <c r="E143" s="171"/>
      <c r="F143" s="171"/>
      <c r="G143" s="171"/>
      <c r="H143" s="145"/>
      <c r="I143" s="148"/>
      <c r="J143" s="145"/>
      <c r="K143" s="145"/>
      <c r="L143" s="145"/>
      <c r="M143" s="149"/>
      <c r="N143" s="145"/>
      <c r="O143" s="21"/>
      <c r="P143" s="21"/>
    </row>
    <row r="144" spans="1:16" x14ac:dyDescent="0.3">
      <c r="A144" s="171"/>
      <c r="B144" s="171"/>
      <c r="C144" s="171"/>
      <c r="D144" s="171"/>
      <c r="E144" s="171"/>
      <c r="F144" s="171"/>
      <c r="G144" s="171"/>
      <c r="H144" s="145"/>
      <c r="I144" s="139"/>
      <c r="J144" s="145"/>
      <c r="K144" s="145"/>
      <c r="L144" s="145"/>
      <c r="M144" s="149"/>
      <c r="N144" s="145"/>
      <c r="O144" s="21"/>
      <c r="P144" s="21"/>
    </row>
    <row r="145" spans="1:16" s="2" customFormat="1" ht="10.8" x14ac:dyDescent="0.3">
      <c r="A145" s="150"/>
      <c r="B145" s="150"/>
      <c r="C145" s="150"/>
      <c r="D145" s="150"/>
      <c r="E145" s="150"/>
      <c r="F145" s="150"/>
      <c r="G145" s="150"/>
      <c r="H145" s="151"/>
      <c r="I145" s="152"/>
      <c r="J145" s="151"/>
      <c r="K145" s="151"/>
      <c r="L145" s="151"/>
      <c r="M145" s="9"/>
      <c r="N145" s="151"/>
    </row>
    <row r="146" spans="1:16" ht="15" x14ac:dyDescent="0.3">
      <c r="A146" s="154" t="s">
        <v>138</v>
      </c>
      <c r="B146" s="154"/>
      <c r="C146" s="154"/>
      <c r="D146" s="154"/>
      <c r="E146" s="154"/>
      <c r="F146" s="154"/>
      <c r="G146" s="154"/>
      <c r="H146" s="145"/>
      <c r="I146" s="145"/>
      <c r="J146" s="145"/>
      <c r="K146" s="145"/>
      <c r="L146" s="145"/>
      <c r="M146" s="149"/>
      <c r="N146" s="145"/>
      <c r="O146" s="21"/>
      <c r="P146" s="21"/>
    </row>
    <row r="147" spans="1:16" ht="15" x14ac:dyDescent="0.3">
      <c r="A147" s="154" t="s">
        <v>139</v>
      </c>
      <c r="B147" s="154"/>
      <c r="C147" s="154"/>
      <c r="D147" s="154"/>
      <c r="E147" s="154"/>
      <c r="F147" s="154"/>
      <c r="G147" s="154"/>
      <c r="H147" s="145"/>
      <c r="I147" s="145"/>
      <c r="J147" s="145"/>
      <c r="K147" s="145"/>
      <c r="L147" s="145"/>
      <c r="M147" s="149"/>
      <c r="N147" s="145"/>
      <c r="O147" s="21"/>
      <c r="P147" s="21"/>
    </row>
    <row r="148" spans="1:16" s="2" customFormat="1" ht="10.8" x14ac:dyDescent="0.3">
      <c r="C148" s="153"/>
      <c r="D148" s="153"/>
      <c r="E148" s="153"/>
      <c r="F148" s="153"/>
      <c r="G148" s="153"/>
    </row>
    <row r="184" s="21" customFormat="1" x14ac:dyDescent="0.3"/>
    <row r="185" s="21" customFormat="1" x14ac:dyDescent="0.3"/>
    <row r="186" s="21" customFormat="1" x14ac:dyDescent="0.3"/>
    <row r="187" s="21" customFormat="1" x14ac:dyDescent="0.3"/>
  </sheetData>
  <mergeCells count="12">
    <mergeCell ref="A147:G147"/>
    <mergeCell ref="A6:G6"/>
    <mergeCell ref="A7:G7"/>
    <mergeCell ref="A8:G8"/>
    <mergeCell ref="A9:G9"/>
    <mergeCell ref="A11:G11"/>
    <mergeCell ref="A137:F137"/>
    <mergeCell ref="A138:F138"/>
    <mergeCell ref="A139:F139"/>
    <mergeCell ref="A140:F140"/>
    <mergeCell ref="A143:G144"/>
    <mergeCell ref="A146:G146"/>
  </mergeCells>
  <printOptions horizontalCentered="1"/>
  <pageMargins left="0.70866141732283472" right="0.70866141732283472" top="1.1023622047244095" bottom="0.74803149606299213" header="0.31496062992125984" footer="0.31496062992125984"/>
  <pageSetup paperSize="9" scale="66" fitToHeight="0" orientation="portrait" r:id="rId1"/>
  <headerFooter>
    <oddHeader>&amp;L&amp;G</oddHeader>
    <oddFooter>&amp;L&amp;G&amp;C&amp;A
Page &amp;P&amp;R&amp;G</oddFooter>
    <firstHeader xml:space="preserve">&amp;L&amp;G
</first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DQE révisé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Yvannis Trécy ALLOGO</dc:creator>
  <cp:lastModifiedBy>Yvannis Trécy ALLOGO</cp:lastModifiedBy>
  <cp:lastPrinted>2026-03-18T08:38:34Z</cp:lastPrinted>
  <dcterms:created xsi:type="dcterms:W3CDTF">2026-03-10T14:29:50Z</dcterms:created>
  <dcterms:modified xsi:type="dcterms:W3CDTF">2026-03-18T09:42:53Z</dcterms:modified>
</cp:coreProperties>
</file>