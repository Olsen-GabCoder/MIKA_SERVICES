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p\Desktop\PROJETS MIKA\CET NKOLTANG\"/>
    </mc:Choice>
  </mc:AlternateContent>
  <xr:revisionPtr revIDLastSave="0" documentId="13_ncr:1_{69A6F11A-98AC-4D2B-964B-79E20A6990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AP" sheetId="3" r:id="rId1"/>
    <sheet name="DQE CET" sheetId="1" r:id="rId2"/>
    <sheet name="BPU" sheetId="4" r:id="rId3"/>
    <sheet name="SDPU" sheetId="5" r:id="rId4"/>
    <sheet name="Coupe" sheetId="2" r:id="rId5"/>
  </sheets>
  <functionGroups builtInGroupCount="19"/>
  <definedNames>
    <definedName name="_xlnm.Print_Area" localSheetId="2">BPU!$A$1:$F$128</definedName>
    <definedName name="_xlnm.Print_Area" localSheetId="1">'DQE CET'!$A$1:$F$128</definedName>
    <definedName name="_xlnm.Print_Area" localSheetId="0">RECAP!$A$1:$F$52</definedName>
    <definedName name="_xlnm.Print_Area" localSheetId="3">SDPU!$A$1:$I$127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7" i="5" l="1"/>
  <c r="F107" i="5"/>
  <c r="G107" i="5"/>
  <c r="E101" i="5"/>
  <c r="E102" i="5"/>
  <c r="E103" i="5"/>
  <c r="E104" i="5"/>
  <c r="F101" i="5"/>
  <c r="F102" i="5"/>
  <c r="F103" i="5"/>
  <c r="F104" i="5"/>
  <c r="G101" i="5"/>
  <c r="G102" i="5"/>
  <c r="G103" i="5"/>
  <c r="G104" i="5"/>
  <c r="E100" i="5"/>
  <c r="F100" i="5"/>
  <c r="G100" i="5"/>
  <c r="E96" i="5"/>
  <c r="E97" i="5"/>
  <c r="F96" i="5"/>
  <c r="F97" i="5"/>
  <c r="G96" i="5"/>
  <c r="G97" i="5"/>
  <c r="E95" i="5"/>
  <c r="F95" i="5"/>
  <c r="G95" i="5"/>
  <c r="E91" i="5"/>
  <c r="E92" i="5"/>
  <c r="F91" i="5"/>
  <c r="F92" i="5"/>
  <c r="G91" i="5"/>
  <c r="G92" i="5"/>
  <c r="E90" i="5"/>
  <c r="F90" i="5"/>
  <c r="G90" i="5"/>
  <c r="E80" i="5"/>
  <c r="E81" i="5"/>
  <c r="E82" i="5"/>
  <c r="E83" i="5"/>
  <c r="E84" i="5"/>
  <c r="E85" i="5"/>
  <c r="E86" i="5"/>
  <c r="E87" i="5"/>
  <c r="F80" i="5"/>
  <c r="F81" i="5"/>
  <c r="F82" i="5"/>
  <c r="F83" i="5"/>
  <c r="F84" i="5"/>
  <c r="F85" i="5"/>
  <c r="F86" i="5"/>
  <c r="F87" i="5"/>
  <c r="G80" i="5"/>
  <c r="G81" i="5"/>
  <c r="G82" i="5"/>
  <c r="G83" i="5"/>
  <c r="G84" i="5"/>
  <c r="G85" i="5"/>
  <c r="G86" i="5"/>
  <c r="G87" i="5"/>
  <c r="E79" i="5"/>
  <c r="F79" i="5"/>
  <c r="G79" i="5"/>
  <c r="E74" i="5"/>
  <c r="E75" i="5"/>
  <c r="E76" i="5"/>
  <c r="F74" i="5"/>
  <c r="F75" i="5"/>
  <c r="F76" i="5"/>
  <c r="G74" i="5"/>
  <c r="G75" i="5"/>
  <c r="G76" i="5"/>
  <c r="E73" i="5"/>
  <c r="F73" i="5"/>
  <c r="G73" i="5"/>
  <c r="E68" i="5"/>
  <c r="E69" i="5"/>
  <c r="E70" i="5"/>
  <c r="F68" i="5"/>
  <c r="F69" i="5"/>
  <c r="F70" i="5"/>
  <c r="G68" i="5"/>
  <c r="G69" i="5"/>
  <c r="G70" i="5"/>
  <c r="E67" i="5"/>
  <c r="F67" i="5"/>
  <c r="G67" i="5"/>
  <c r="E58" i="5"/>
  <c r="E59" i="5"/>
  <c r="E60" i="5"/>
  <c r="E61" i="5"/>
  <c r="E62" i="5"/>
  <c r="E63" i="5"/>
  <c r="E64" i="5"/>
  <c r="F58" i="5"/>
  <c r="F59" i="5"/>
  <c r="F60" i="5"/>
  <c r="F61" i="5"/>
  <c r="F62" i="5"/>
  <c r="F63" i="5"/>
  <c r="F64" i="5"/>
  <c r="G58" i="5"/>
  <c r="G59" i="5"/>
  <c r="G60" i="5"/>
  <c r="G61" i="5"/>
  <c r="G62" i="5"/>
  <c r="G63" i="5"/>
  <c r="G64" i="5"/>
  <c r="E57" i="5"/>
  <c r="F57" i="5"/>
  <c r="G57" i="5"/>
  <c r="E44" i="5"/>
  <c r="E45" i="5"/>
  <c r="E46" i="5"/>
  <c r="E47" i="5"/>
  <c r="E48" i="5"/>
  <c r="E49" i="5"/>
  <c r="E50" i="5"/>
  <c r="E51" i="5"/>
  <c r="E52" i="5"/>
  <c r="E53" i="5"/>
  <c r="E54" i="5"/>
  <c r="F44" i="5"/>
  <c r="F45" i="5"/>
  <c r="F46" i="5"/>
  <c r="F47" i="5"/>
  <c r="F48" i="5"/>
  <c r="F49" i="5"/>
  <c r="F50" i="5"/>
  <c r="F51" i="5"/>
  <c r="F52" i="5"/>
  <c r="F53" i="5"/>
  <c r="F54" i="5"/>
  <c r="G44" i="5"/>
  <c r="G45" i="5"/>
  <c r="G46" i="5"/>
  <c r="G47" i="5"/>
  <c r="G48" i="5"/>
  <c r="G49" i="5"/>
  <c r="G50" i="5"/>
  <c r="G51" i="5"/>
  <c r="G52" i="5"/>
  <c r="G53" i="5"/>
  <c r="G54" i="5"/>
  <c r="E43" i="5"/>
  <c r="F43" i="5"/>
  <c r="G43" i="5"/>
  <c r="E39" i="5"/>
  <c r="E40" i="5"/>
  <c r="F39" i="5"/>
  <c r="F40" i="5"/>
  <c r="G39" i="5"/>
  <c r="G40" i="5"/>
  <c r="E38" i="5"/>
  <c r="F38" i="5"/>
  <c r="G38" i="5"/>
  <c r="E31" i="5"/>
  <c r="E32" i="5"/>
  <c r="E33" i="5"/>
  <c r="E34" i="5"/>
  <c r="E35" i="5"/>
  <c r="F31" i="5"/>
  <c r="F32" i="5"/>
  <c r="F33" i="5"/>
  <c r="F34" i="5"/>
  <c r="F35" i="5"/>
  <c r="G31" i="5"/>
  <c r="G32" i="5"/>
  <c r="G33" i="5"/>
  <c r="G34" i="5"/>
  <c r="G35" i="5"/>
  <c r="E30" i="5"/>
  <c r="F30" i="5"/>
  <c r="G30" i="5"/>
  <c r="E26" i="5"/>
  <c r="E27" i="5"/>
  <c r="E25" i="5"/>
  <c r="F26" i="5"/>
  <c r="F27" i="5"/>
  <c r="F25" i="5"/>
  <c r="G26" i="5"/>
  <c r="G27" i="5"/>
  <c r="G25" i="5"/>
  <c r="H107" i="5"/>
  <c r="I107" i="5" s="1"/>
  <c r="I104" i="5"/>
  <c r="I103" i="5"/>
  <c r="I102" i="5"/>
  <c r="H101" i="5"/>
  <c r="I101" i="5" s="1"/>
  <c r="I100" i="5"/>
  <c r="C97" i="5"/>
  <c r="I97" i="5" s="1"/>
  <c r="I96" i="5"/>
  <c r="I95" i="5"/>
  <c r="I98" i="5" s="1"/>
  <c r="I92" i="5"/>
  <c r="I91" i="5"/>
  <c r="I90" i="5"/>
  <c r="I93" i="5" s="1"/>
  <c r="I87" i="5"/>
  <c r="I86" i="5"/>
  <c r="I85" i="5"/>
  <c r="C84" i="5"/>
  <c r="I84" i="5" s="1"/>
  <c r="C83" i="5"/>
  <c r="I83" i="5" s="1"/>
  <c r="C82" i="5"/>
  <c r="I82" i="5" s="1"/>
  <c r="I81" i="5"/>
  <c r="I80" i="5"/>
  <c r="I79" i="5"/>
  <c r="I88" i="5" s="1"/>
  <c r="H76" i="5"/>
  <c r="I76" i="5" s="1"/>
  <c r="C75" i="5"/>
  <c r="I75" i="5" s="1"/>
  <c r="I74" i="5"/>
  <c r="H73" i="5"/>
  <c r="I73" i="5" s="1"/>
  <c r="I70" i="5"/>
  <c r="C69" i="5"/>
  <c r="I69" i="5" s="1"/>
  <c r="C68" i="5"/>
  <c r="I68" i="5" s="1"/>
  <c r="H67" i="5"/>
  <c r="I67" i="5" s="1"/>
  <c r="H63" i="5"/>
  <c r="H62" i="5"/>
  <c r="C62" i="5"/>
  <c r="I62" i="5" s="1"/>
  <c r="C61" i="5"/>
  <c r="I61" i="5" s="1"/>
  <c r="I60" i="5"/>
  <c r="C59" i="5"/>
  <c r="I59" i="5" s="1"/>
  <c r="C58" i="5"/>
  <c r="I58" i="5" s="1"/>
  <c r="H57" i="5"/>
  <c r="I57" i="5" s="1"/>
  <c r="C54" i="5"/>
  <c r="I54" i="5" s="1"/>
  <c r="I53" i="5"/>
  <c r="I52" i="5"/>
  <c r="I51" i="5"/>
  <c r="H49" i="5"/>
  <c r="H48" i="5"/>
  <c r="C48" i="5"/>
  <c r="C49" i="5" s="1"/>
  <c r="I49" i="5" s="1"/>
  <c r="C47" i="5"/>
  <c r="I47" i="5" s="1"/>
  <c r="C46" i="5"/>
  <c r="I46" i="5" s="1"/>
  <c r="C45" i="5"/>
  <c r="I45" i="5" s="1"/>
  <c r="C44" i="5"/>
  <c r="I44" i="5" s="1"/>
  <c r="H43" i="5"/>
  <c r="I43" i="5" s="1"/>
  <c r="I40" i="5"/>
  <c r="C39" i="5"/>
  <c r="I39" i="5" s="1"/>
  <c r="H38" i="5"/>
  <c r="I38" i="5" s="1"/>
  <c r="I41" i="5" s="1"/>
  <c r="I35" i="5"/>
  <c r="I34" i="5"/>
  <c r="I33" i="5"/>
  <c r="I32" i="5"/>
  <c r="I31" i="5"/>
  <c r="C30" i="5"/>
  <c r="I30" i="5" s="1"/>
  <c r="I36" i="5" s="1"/>
  <c r="I27" i="5"/>
  <c r="I26" i="5"/>
  <c r="I25" i="5"/>
  <c r="E108" i="4"/>
  <c r="E102" i="4"/>
  <c r="C98" i="4"/>
  <c r="F96" i="4"/>
  <c r="C85" i="4"/>
  <c r="C84" i="4"/>
  <c r="C83" i="4"/>
  <c r="E77" i="4"/>
  <c r="C76" i="4"/>
  <c r="E74" i="4"/>
  <c r="C70" i="4"/>
  <c r="C69" i="4"/>
  <c r="E68" i="4"/>
  <c r="E64" i="4"/>
  <c r="C64" i="4"/>
  <c r="C65" i="4" s="1"/>
  <c r="E63" i="4"/>
  <c r="C63" i="4"/>
  <c r="C62" i="4"/>
  <c r="C60" i="4"/>
  <c r="C59" i="4"/>
  <c r="E58" i="4"/>
  <c r="C55" i="4"/>
  <c r="E50" i="4"/>
  <c r="E49" i="4"/>
  <c r="C49" i="4"/>
  <c r="C50" i="4" s="1"/>
  <c r="C48" i="4"/>
  <c r="C47" i="4"/>
  <c r="C46" i="4"/>
  <c r="C45" i="4"/>
  <c r="E44" i="4"/>
  <c r="C40" i="4"/>
  <c r="E39" i="4"/>
  <c r="C31" i="4"/>
  <c r="F91" i="4" a="1"/>
  <c r="F109" i="4" a="1"/>
  <c r="F82" i="4" a="1"/>
  <c r="F74" i="4" a="1"/>
  <c r="F58" i="4" a="1"/>
  <c r="F44" i="4" a="1"/>
  <c r="F26" i="4" a="1"/>
  <c r="F88" i="4" a="1"/>
  <c r="F69" i="4" a="1"/>
  <c r="F45" i="4" a="1"/>
  <c r="F40" i="4" a="1"/>
  <c r="F84" i="4" a="1"/>
  <c r="F46" i="4" a="1"/>
  <c r="F87" i="4" a="1"/>
  <c r="F108" i="4" a="1"/>
  <c r="F102" i="4" a="1"/>
  <c r="F105" i="4" a="1"/>
  <c r="F86" i="4" a="1"/>
  <c r="F70" i="4" a="1"/>
  <c r="F52" i="4" a="1"/>
  <c r="F39" i="4" a="1"/>
  <c r="F83" i="4" a="1"/>
  <c r="F35" i="4" a="1"/>
  <c r="F63" i="4" a="1"/>
  <c r="F47" i="4" a="1"/>
  <c r="F54" i="4" a="1"/>
  <c r="F103" i="4" a="1"/>
  <c r="F81" i="4" a="1"/>
  <c r="F68" i="4" a="1"/>
  <c r="F53" i="4" a="1"/>
  <c r="F32" i="4" a="1"/>
  <c r="F61" i="4" a="1"/>
  <c r="F48" i="4" a="1"/>
  <c r="F85" i="4" a="1"/>
  <c r="F33" i="4" a="1"/>
  <c r="F36" i="4" a="1"/>
  <c r="F104" i="4" a="1"/>
  <c r="F101" i="4" a="1"/>
  <c r="F98" i="4" a="1"/>
  <c r="F97" i="4" a="1"/>
  <c r="F80" i="4" a="1"/>
  <c r="F62" i="4" a="1"/>
  <c r="F55" i="4" a="1"/>
  <c r="F34" i="4" a="1"/>
  <c r="F76" i="4" a="1"/>
  <c r="F64" i="4" a="1"/>
  <c r="F50" i="4" a="1"/>
  <c r="F31" i="4" a="1"/>
  <c r="F28" i="4" a="1"/>
  <c r="F92" i="4" a="1"/>
  <c r="F93" i="4" a="1"/>
  <c r="F77" i="4" a="1"/>
  <c r="F59" i="4" a="1"/>
  <c r="F49" i="4" a="1"/>
  <c r="F27" i="4" a="1"/>
  <c r="F75" i="4" a="1"/>
  <c r="F65" i="4" a="1"/>
  <c r="F51" i="4" a="1"/>
  <c r="F71" i="4" a="1"/>
  <c r="F41" i="4" a="1"/>
  <c r="F60" i="4" a="1"/>
  <c r="F109" i="4" l="1"/>
  <c r="F108" i="4"/>
  <c r="F104" i="4"/>
  <c r="F103" i="4"/>
  <c r="F105" i="4"/>
  <c r="F102" i="4"/>
  <c r="F101" i="4"/>
  <c r="F98" i="4"/>
  <c r="F97" i="4"/>
  <c r="F93" i="4"/>
  <c r="F92" i="4"/>
  <c r="F91" i="4"/>
  <c r="F87" i="4"/>
  <c r="F85" i="4"/>
  <c r="F83" i="4"/>
  <c r="F81" i="4"/>
  <c r="F86" i="4"/>
  <c r="F84" i="4"/>
  <c r="F88" i="4"/>
  <c r="F82" i="4"/>
  <c r="F80" i="4"/>
  <c r="F75" i="4"/>
  <c r="F77" i="4"/>
  <c r="F76" i="4"/>
  <c r="F74" i="4"/>
  <c r="F70" i="4"/>
  <c r="F71" i="4"/>
  <c r="F69" i="4"/>
  <c r="F68" i="4"/>
  <c r="F65" i="4"/>
  <c r="F59" i="4"/>
  <c r="F64" i="4"/>
  <c r="F62" i="4"/>
  <c r="F60" i="4"/>
  <c r="F63" i="4"/>
  <c r="F61" i="4"/>
  <c r="F58" i="4"/>
  <c r="F51" i="4"/>
  <c r="F49" i="4"/>
  <c r="F50" i="4"/>
  <c r="F55" i="4"/>
  <c r="F54" i="4"/>
  <c r="F47" i="4"/>
  <c r="F48" i="4"/>
  <c r="F53" i="4"/>
  <c r="F52" i="4"/>
  <c r="F46" i="4"/>
  <c r="F45" i="4"/>
  <c r="F44" i="4"/>
  <c r="F41" i="4"/>
  <c r="F40" i="4"/>
  <c r="F39" i="4"/>
  <c r="F34" i="4"/>
  <c r="F36" i="4"/>
  <c r="F33" i="4"/>
  <c r="F35" i="4"/>
  <c r="F32" i="4"/>
  <c r="F31" i="4"/>
  <c r="F28" i="4"/>
  <c r="F27" i="4"/>
  <c r="F26" i="4"/>
  <c r="I28" i="5"/>
  <c r="I48" i="5"/>
  <c r="C63" i="5"/>
  <c r="I63" i="5" s="1"/>
  <c r="I71" i="5"/>
  <c r="I105" i="5"/>
  <c r="I77" i="5"/>
  <c r="C64" i="5"/>
  <c r="I64" i="5" s="1"/>
  <c r="I65" i="5" s="1"/>
  <c r="C50" i="5"/>
  <c r="I50" i="5" s="1"/>
  <c r="I55" i="5" s="1"/>
  <c r="C51" i="4"/>
  <c r="I108" i="5" l="1"/>
  <c r="I109" i="5" s="1"/>
  <c r="I111" i="5" s="1"/>
  <c r="I113" i="5" l="1"/>
  <c r="I112" i="5"/>
  <c r="I114" i="5" l="1"/>
  <c r="C84" i="1" l="1"/>
  <c r="F84" i="1" s="1"/>
  <c r="E108" i="1" l="1"/>
  <c r="C98" i="1"/>
  <c r="E74" i="1"/>
  <c r="E49" i="1"/>
  <c r="F96" i="1" l="1"/>
  <c r="C40" i="1"/>
  <c r="C70" i="1" l="1"/>
  <c r="C69" i="1"/>
  <c r="C60" i="1"/>
  <c r="C59" i="1"/>
  <c r="C46" i="1"/>
  <c r="C45" i="1"/>
  <c r="E64" i="1"/>
  <c r="E63" i="1"/>
  <c r="E50" i="1"/>
  <c r="F105" i="1" l="1"/>
  <c r="C85" i="1"/>
  <c r="C83" i="1"/>
  <c r="E77" i="1"/>
  <c r="C76" i="1"/>
  <c r="E68" i="1"/>
  <c r="E58" i="1"/>
  <c r="E44" i="1"/>
  <c r="F40" i="1"/>
  <c r="F41" i="1"/>
  <c r="E39" i="1"/>
  <c r="F39" i="1" s="1"/>
  <c r="C63" i="1"/>
  <c r="C64" i="1" s="1"/>
  <c r="C65" i="1" s="1"/>
  <c r="F65" i="1" s="1"/>
  <c r="C62" i="1"/>
  <c r="F62" i="1" s="1"/>
  <c r="C55" i="1"/>
  <c r="C47" i="1"/>
  <c r="C49" i="1"/>
  <c r="C48" i="1"/>
  <c r="C31" i="1"/>
  <c r="F64" i="1" l="1"/>
  <c r="C50" i="1"/>
  <c r="F49" i="1"/>
  <c r="F63" i="1"/>
  <c r="F42" i="1"/>
  <c r="F27" i="3" s="1"/>
  <c r="E102" i="1"/>
  <c r="F81" i="1"/>
  <c r="F82" i="1"/>
  <c r="F83" i="1"/>
  <c r="F85" i="1"/>
  <c r="F86" i="1"/>
  <c r="F87" i="1"/>
  <c r="F88" i="1"/>
  <c r="F80" i="1"/>
  <c r="F89" i="1" l="1"/>
  <c r="F32" i="3" s="1"/>
  <c r="C51" i="1"/>
  <c r="F51" i="1" s="1"/>
  <c r="F50" i="1"/>
  <c r="F108" i="1"/>
  <c r="F102" i="1"/>
  <c r="F103" i="1"/>
  <c r="F104" i="1"/>
  <c r="F101" i="1"/>
  <c r="F97" i="1"/>
  <c r="F98" i="1"/>
  <c r="F92" i="1"/>
  <c r="F93" i="1"/>
  <c r="F91" i="1"/>
  <c r="F74" i="1"/>
  <c r="F75" i="1"/>
  <c r="F76" i="1"/>
  <c r="F77" i="1"/>
  <c r="F69" i="1"/>
  <c r="F70" i="1"/>
  <c r="F71" i="1"/>
  <c r="F68" i="1"/>
  <c r="F59" i="1"/>
  <c r="F60" i="1"/>
  <c r="F61" i="1"/>
  <c r="F45" i="1"/>
  <c r="F46" i="1"/>
  <c r="F47" i="1"/>
  <c r="F48" i="1"/>
  <c r="F52" i="1"/>
  <c r="F53" i="1"/>
  <c r="F54" i="1"/>
  <c r="F55" i="1"/>
  <c r="F44" i="1"/>
  <c r="F32" i="1"/>
  <c r="F33" i="1"/>
  <c r="F34" i="1"/>
  <c r="F35" i="1"/>
  <c r="F36" i="1"/>
  <c r="F31" i="1"/>
  <c r="F27" i="1"/>
  <c r="F28" i="1"/>
  <c r="F26" i="1"/>
  <c r="F58" i="1"/>
  <c r="F94" i="1" l="1"/>
  <c r="F33" i="3" s="1"/>
  <c r="F99" i="1"/>
  <c r="F34" i="3" s="1"/>
  <c r="F66" i="1"/>
  <c r="F29" i="3" s="1"/>
  <c r="F29" i="1"/>
  <c r="F25" i="3" s="1"/>
  <c r="F37" i="1"/>
  <c r="F26" i="3" s="1"/>
  <c r="F106" i="1"/>
  <c r="F35" i="3" s="1"/>
  <c r="F56" i="1"/>
  <c r="F28" i="3" s="1"/>
  <c r="F72" i="1"/>
  <c r="F30" i="3" s="1"/>
  <c r="F78" i="1"/>
  <c r="F31" i="3" s="1"/>
  <c r="F109" i="1" l="1"/>
  <c r="F110" i="1" s="1"/>
  <c r="F112" i="1" l="1"/>
  <c r="F113" i="1" s="1"/>
  <c r="F36" i="3"/>
  <c r="F37" i="3" s="1"/>
  <c r="F114" i="1"/>
  <c r="F115" i="1" s="1"/>
  <c r="F39" i="3" l="1"/>
  <c r="F38" i="3"/>
  <c r="F4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 Lenovo</author>
  </authors>
  <commentList>
    <comment ref="E2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2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2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
</t>
        </r>
      </text>
    </comment>
    <comment ref="E3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TEREA sur Idembé et Bongolo</t>
        </r>
      </text>
    </comment>
    <comment ref="E3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4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5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60% du volume total des déblais au niveau du casier 1</t>
        </r>
      </text>
    </comment>
    <comment ref="E45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6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10% du volume total des remblais au niveau du casier 1</t>
        </r>
      </text>
    </comment>
    <comment ref="E46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 xml:space="preserve">User Lenovo:
</t>
        </r>
        <r>
          <rPr>
            <sz val="9"/>
            <color indexed="81"/>
            <rFont val="Tahoma"/>
            <family val="2"/>
          </rPr>
          <t>Estimatif</t>
        </r>
      </text>
    </comment>
    <comment ref="E47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8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9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50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51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52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3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4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8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59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25% du volume total des déblais au niveau du bassin de lixiviats</t>
        </r>
      </text>
    </comment>
    <comment ref="E59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0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40% du volume total des remblais au niveau du bassin de lixiviats</t>
        </r>
      </text>
    </comment>
    <comment ref="E60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61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2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3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64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65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8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9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15% du volume total des déblais au niveau de la plateforme technique</t>
        </r>
      </text>
    </comment>
    <comment ref="E69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70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50% du volume total des remblais au niveau de la plateforme technique</t>
        </r>
      </text>
    </comment>
    <comment ref="E70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71" authorId="0" shapeId="0" xr:uid="{00000000-0006-0000-0000-000029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4" authorId="0" shapeId="0" xr:uid="{00000000-0006-0000-0000-00002A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Nkoltang</t>
        </r>
      </text>
    </comment>
    <comment ref="E75" authorId="0" shapeId="0" xr:uid="{00000000-0006-0000-0000-00002B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6" authorId="0" shapeId="0" xr:uid="{00000000-0006-0000-0000-00002C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7" authorId="0" shapeId="0" xr:uid="{00000000-0006-0000-0000-00002D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80" authorId="0" shapeId="0" xr:uid="{00000000-0006-0000-0000-00002E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1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2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3" authorId="0" shapeId="0" xr:uid="{00000000-0006-0000-0000-000031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4" authorId="0" shapeId="0" xr:uid="{00000000-0006-0000-0000-000032000000}">
      <text>
        <r>
          <rPr>
            <b/>
            <sz val="9"/>
            <color indexed="81"/>
            <rFont val="Tahoma"/>
            <charset val="1"/>
          </rPr>
          <t>User Lenovo:</t>
        </r>
        <r>
          <rPr>
            <sz val="9"/>
            <color indexed="81"/>
            <rFont val="Tahoma"/>
            <charset val="1"/>
          </rPr>
          <t xml:space="preserve">
Estimaf</t>
        </r>
      </text>
    </comment>
    <comment ref="E85" authorId="0" shapeId="0" xr:uid="{00000000-0006-0000-0000-000033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6" authorId="0" shapeId="0" xr:uid="{00000000-0006-0000-0000-000034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7" authorId="0" shapeId="0" xr:uid="{00000000-0006-0000-0000-000035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8" authorId="0" shapeId="0" xr:uid="{00000000-0006-0000-0000-000036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1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JB</t>
        </r>
      </text>
    </comment>
    <comment ref="E92" authorId="0" shapeId="0" xr:uid="{00000000-0006-0000-0000-000038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3" authorId="0" shapeId="0" xr:uid="{00000000-0006-0000-0000-000039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7" authorId="0" shapeId="0" xr:uid="{00000000-0006-0000-0000-00003A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8" authorId="0" shapeId="0" xr:uid="{00000000-0006-0000-0000-00003B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de Kango</t>
        </r>
      </text>
    </comment>
    <comment ref="E101" authorId="0" shapeId="0" xr:uid="{00000000-0006-0000-0000-00003C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2" authorId="0" shapeId="0" xr:uid="{00000000-0006-0000-0000-00003D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3" authorId="0" shapeId="0" xr:uid="{00000000-0006-0000-0000-00003E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4" authorId="0" shapeId="0" xr:uid="{00000000-0006-0000-0000-00003F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5" authorId="0" shapeId="0" xr:uid="{00000000-0006-0000-0000-0000400000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 Lenovo</author>
  </authors>
  <commentList>
    <comment ref="E26" authorId="0" shapeId="0" xr:uid="{8FC46B4D-3BAA-41A6-A32D-BAF8C18395F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27" authorId="0" shapeId="0" xr:uid="{15F72F8A-29A0-405C-B4C8-EA5C60F67CB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28" authorId="0" shapeId="0" xr:uid="{10686563-E45F-4954-B9F6-F82D80F1E93C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
</t>
        </r>
      </text>
    </comment>
    <comment ref="E31" authorId="0" shapeId="0" xr:uid="{EFF0C128-DADB-43BC-AB62-FF02827B5B57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2" authorId="0" shapeId="0" xr:uid="{0AE41583-99A4-4F98-8346-895FBA9951A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3" authorId="0" shapeId="0" xr:uid="{527949A1-51EB-47AA-9FD6-F1822CDF1B2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TEREA sur Idembé et Bongolo</t>
        </r>
      </text>
    </comment>
    <comment ref="E34" authorId="0" shapeId="0" xr:uid="{D47FB393-1413-48A0-A93D-9A72E642C46E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5" authorId="0" shapeId="0" xr:uid="{0B8A9038-00B6-466F-9F6C-FD9AB113648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6" authorId="0" shapeId="0" xr:uid="{60559A15-E8B4-4F4D-8FF7-18EFD3B0651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39" authorId="0" shapeId="0" xr:uid="{F2B9F3F2-3C51-4A95-A31A-01077852B41E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0" authorId="0" shapeId="0" xr:uid="{5FC82504-48C2-4B44-81A6-BE47FE1A237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1" authorId="0" shapeId="0" xr:uid="{1146708A-657B-4424-8CB1-4F01D915BDB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44" authorId="0" shapeId="0" xr:uid="{F7CC7713-1367-4469-87AB-E02ECACFA2C9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5" authorId="0" shapeId="0" xr:uid="{EC9C5E7C-6FB4-4B4E-BFC4-2DF49D4AC6B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60% du volume total des déblais au niveau du casier 1</t>
        </r>
      </text>
    </comment>
    <comment ref="E45" authorId="0" shapeId="0" xr:uid="{45C9A1B1-02AC-427D-9D8C-A7944DECA12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6" authorId="0" shapeId="0" xr:uid="{7CF4228A-8939-427C-B230-184E0ABF358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10% du volume total des remblais au niveau du casier 1</t>
        </r>
      </text>
    </comment>
    <comment ref="E46" authorId="0" shapeId="0" xr:uid="{E844B4C6-2353-4CC7-8747-9F06BBC465B5}">
      <text>
        <r>
          <rPr>
            <b/>
            <sz val="9"/>
            <color indexed="81"/>
            <rFont val="Tahoma"/>
            <family val="2"/>
          </rPr>
          <t xml:space="preserve">User Lenovo:
</t>
        </r>
        <r>
          <rPr>
            <sz val="9"/>
            <color indexed="81"/>
            <rFont val="Tahoma"/>
            <family val="2"/>
          </rPr>
          <t>Estimatif</t>
        </r>
      </text>
    </comment>
    <comment ref="E47" authorId="0" shapeId="0" xr:uid="{7DC04A89-AFA0-4AEC-BE67-32D83F99D35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8" authorId="0" shapeId="0" xr:uid="{1B23CE56-FE0D-4EF0-B79C-23179FA49D6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49" authorId="0" shapeId="0" xr:uid="{573CC922-03BF-449F-85DE-74EB65A4AE3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50" authorId="0" shapeId="0" xr:uid="{C1E5AC14-213C-47E7-BBAB-E0B8F7297BF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51" authorId="0" shapeId="0" xr:uid="{FED14E26-1206-42E4-B6CB-21609AD4ED6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52" authorId="0" shapeId="0" xr:uid="{C606DD5A-32E6-4932-8228-ECDFE5FF22B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3" authorId="0" shapeId="0" xr:uid="{0B2A64AD-1CA8-4661-943F-FA401045C34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4" authorId="0" shapeId="0" xr:uid="{1B6E2FC5-C738-40C4-A06B-DACE1DF3013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58" authorId="0" shapeId="0" xr:uid="{A5560992-0CBC-4A42-8826-9A244765DD5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59" authorId="0" shapeId="0" xr:uid="{5EBA398C-3308-4284-81FD-4098AF0A257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25% du volume total des déblais au niveau du bassin de lixiviats</t>
        </r>
      </text>
    </comment>
    <comment ref="E59" authorId="0" shapeId="0" xr:uid="{44DE29F6-7F88-4B18-8DC0-D4D0926B5A7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0" authorId="0" shapeId="0" xr:uid="{1B11510E-7489-4593-ABD8-1A7C94449D9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40% du volume total des remblais au niveau du bassin de lixiviats</t>
        </r>
      </text>
    </comment>
    <comment ref="E60" authorId="0" shapeId="0" xr:uid="{DBA399F9-ED58-4FA5-AFA3-94F35CA85F0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61" authorId="0" shapeId="0" xr:uid="{574DF859-DB06-4FC1-B2D0-218185F5E6A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2" authorId="0" shapeId="0" xr:uid="{7225D268-54E9-46B5-975F-205777919FDC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3" authorId="0" shapeId="0" xr:uid="{C4B4B198-BAE9-4559-820F-D690A43FB9B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64" authorId="0" shapeId="0" xr:uid="{EEA0030C-19E5-4D86-8EE3-6B68BB2546C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E65" authorId="0" shapeId="0" xr:uid="{8FE30522-F957-4098-B37D-A19FFA89F25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68" authorId="0" shapeId="0" xr:uid="{3598F1A9-5ABB-455F-8C52-B3708284C26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9" authorId="0" shapeId="0" xr:uid="{F69FA84E-2CA6-4F0D-B5B1-2598914EB69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15% du volume total des déblais au niveau de la plateforme technique</t>
        </r>
      </text>
    </comment>
    <comment ref="E69" authorId="0" shapeId="0" xr:uid="{C93D7210-1C50-4D7B-89A9-313B99A3CCA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70" authorId="0" shapeId="0" xr:uid="{CA2D47FD-04B3-458F-B197-F35535CA2D3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50% du volume total des remblais au niveau de la plateforme technique</t>
        </r>
      </text>
    </comment>
    <comment ref="E70" authorId="0" shapeId="0" xr:uid="{CCEE7150-BD99-464E-AB7E-04C38B7DD4E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71" authorId="0" shapeId="0" xr:uid="{992B860F-E0BE-4E72-8641-41F0A9CEDEA9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4" authorId="0" shapeId="0" xr:uid="{D2C7CD1E-257C-4F03-8FD1-3ACAE38F88AC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Nkoltang</t>
        </r>
      </text>
    </comment>
    <comment ref="E75" authorId="0" shapeId="0" xr:uid="{FFB8AB8D-F891-4526-973C-9E3DF6562C6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6" authorId="0" shapeId="0" xr:uid="{D37E0FF6-2B9E-4B40-9629-EF13BAA5A82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77" authorId="0" shapeId="0" xr:uid="{72DF86CB-88A3-43B4-88A0-A202A370C08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E80" authorId="0" shapeId="0" xr:uid="{91D00166-FBCC-4526-94F5-CBF4D4832DD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1" authorId="0" shapeId="0" xr:uid="{72CC30D6-B783-4875-A3E8-16F4B49925E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2" authorId="0" shapeId="0" xr:uid="{5AFAEE7D-E521-40EF-A731-155A2CCE7DF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3" authorId="0" shapeId="0" xr:uid="{2BB9FEA5-41C0-4A75-82EF-9843BC9555D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4" authorId="0" shapeId="0" xr:uid="{2686998F-7CD6-4140-906D-486358392818}">
      <text>
        <r>
          <rPr>
            <b/>
            <sz val="9"/>
            <color indexed="81"/>
            <rFont val="Tahoma"/>
            <charset val="1"/>
          </rPr>
          <t>User Lenovo:</t>
        </r>
        <r>
          <rPr>
            <sz val="9"/>
            <color indexed="81"/>
            <rFont val="Tahoma"/>
            <charset val="1"/>
          </rPr>
          <t xml:space="preserve">
Estimaf</t>
        </r>
      </text>
    </comment>
    <comment ref="E85" authorId="0" shapeId="0" xr:uid="{1C2DA81D-2759-44D3-A559-BFAB38B0BC6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6" authorId="0" shapeId="0" xr:uid="{A2FB526A-1868-4426-A7DA-BB6C0F0925B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7" authorId="0" shapeId="0" xr:uid="{C50CB097-D508-4CDF-B2EA-5339DD31B10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88" authorId="0" shapeId="0" xr:uid="{13BE966F-380E-42FE-994F-A9CFF597C03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1" authorId="0" shapeId="0" xr:uid="{F871E63C-18AC-414B-AB80-2E85C76347C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JB</t>
        </r>
      </text>
    </comment>
    <comment ref="E92" authorId="0" shapeId="0" xr:uid="{C8EDB55F-8A23-437E-8C18-2C727BA5C97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3" authorId="0" shapeId="0" xr:uid="{A7773D00-C174-48D6-ABC4-F6DE2F84085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7" authorId="0" shapeId="0" xr:uid="{0CB8883E-60DD-4299-BA0F-DD44D40B31C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98" authorId="0" shapeId="0" xr:uid="{17F95F8A-03AF-44DB-B281-BB28032EAE89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de Kango</t>
        </r>
      </text>
    </comment>
    <comment ref="E101" authorId="0" shapeId="0" xr:uid="{75E50263-A272-457C-A70D-3AB37B9D296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2" authorId="0" shapeId="0" xr:uid="{442ED23A-8A2F-4007-880A-2A5F7471007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3" authorId="0" shapeId="0" xr:uid="{18421EFE-CF66-4F97-83D1-3903C9C6C33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4" authorId="0" shapeId="0" xr:uid="{C010158D-1268-4EF9-BBAB-735C34B3A1B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E105" authorId="0" shapeId="0" xr:uid="{31DC88C1-4B7D-481E-BC5E-5B0C5CA66D0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 Lenovo</author>
  </authors>
  <commentList>
    <comment ref="H25" authorId="0" shapeId="0" xr:uid="{29E551BD-8521-481D-84DF-A2E620750B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26" authorId="0" shapeId="0" xr:uid="{CDC554CC-32DE-42CC-B4FE-463A8958D28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27" authorId="0" shapeId="0" xr:uid="{73D84425-E61E-4990-9352-9965ABBC2D3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
</t>
        </r>
      </text>
    </comment>
    <comment ref="H30" authorId="0" shapeId="0" xr:uid="{DC828BE7-4F89-4BCC-8493-F7885B641EE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31" authorId="0" shapeId="0" xr:uid="{46161687-C39B-45CC-B15C-F084610C6A8D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32" authorId="0" shapeId="0" xr:uid="{0EC43D5A-22BB-491F-8C15-64ECDBD5C00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TEREA sur Idembé et Bongolo</t>
        </r>
      </text>
    </comment>
    <comment ref="H33" authorId="0" shapeId="0" xr:uid="{665C0053-F211-4188-930C-158AFDBF9DB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34" authorId="0" shapeId="0" xr:uid="{4928B4D3-F2D7-4DB1-9DD4-BA7EE27EF83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35" authorId="0" shapeId="0" xr:uid="{66BB7F79-46BC-443F-8080-88BBBF2901B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38" authorId="0" shapeId="0" xr:uid="{A095A89D-D765-4727-B626-9E4E8AE36D89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39" authorId="0" shapeId="0" xr:uid="{2F9B0E49-9BB2-4A09-817E-E901409EA73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40" authorId="0" shapeId="0" xr:uid="{CA7D5EEE-12ED-4CEA-80E7-380B533CDDD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43" authorId="0" shapeId="0" xr:uid="{D13413E3-5540-464F-90F7-39C016E1D53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4" authorId="0" shapeId="0" xr:uid="{42DF1319-4E4E-43BC-92F2-7CEF565C950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60% du volume total des déblais au niveau du casier 1</t>
        </r>
      </text>
    </comment>
    <comment ref="H44" authorId="0" shapeId="0" xr:uid="{9ED200FF-F704-4F3B-909B-FA3F38516DB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45" authorId="0" shapeId="0" xr:uid="{7DFFB1A9-0573-4485-B6FC-6C0A5EB3719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10% du volume total des remblais au niveau du casier 1</t>
        </r>
      </text>
    </comment>
    <comment ref="H45" authorId="0" shapeId="0" xr:uid="{1CF2ED63-C4E6-47BC-B0A0-FA75CF51B3D5}">
      <text>
        <r>
          <rPr>
            <b/>
            <sz val="9"/>
            <color indexed="81"/>
            <rFont val="Tahoma"/>
            <family val="2"/>
          </rPr>
          <t xml:space="preserve">User Lenovo:
</t>
        </r>
        <r>
          <rPr>
            <sz val="9"/>
            <color indexed="81"/>
            <rFont val="Tahoma"/>
            <family val="2"/>
          </rPr>
          <t>Estimatif</t>
        </r>
      </text>
    </comment>
    <comment ref="H46" authorId="0" shapeId="0" xr:uid="{2715D12F-428C-4120-9BF3-1B8689E8B35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47" authorId="0" shapeId="0" xr:uid="{8146F645-58CC-48DE-A316-6415A48C69DC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48" authorId="0" shapeId="0" xr:uid="{F63ED5D4-F1C6-4D70-B848-6AA88936D3A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H49" authorId="0" shapeId="0" xr:uid="{BA4EDD89-2FFF-42C2-9B3B-31A6151F0F6D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H50" authorId="0" shapeId="0" xr:uid="{4656DC17-26D6-4139-8DB0-01712CCB265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51" authorId="0" shapeId="0" xr:uid="{86F5EE97-EE90-4BBB-BAA9-DEB66D4AE7A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52" authorId="0" shapeId="0" xr:uid="{27263C50-57FF-4CA3-8B65-6338C8AC20B9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53" authorId="0" shapeId="0" xr:uid="{A22A901B-1622-40FA-AF98-4DEEA08F576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57" authorId="0" shapeId="0" xr:uid="{53B626B1-38F4-4706-8CDB-09BEB84E14A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58" authorId="0" shapeId="0" xr:uid="{620D7775-20DC-44C2-8015-DCB7743E573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25% du volume total des déblais au niveau du bassin de lixiviats</t>
        </r>
      </text>
    </comment>
    <comment ref="H58" authorId="0" shapeId="0" xr:uid="{B90D84D0-4EC7-4E83-81DD-3C35F238BF0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59" authorId="0" shapeId="0" xr:uid="{505354C8-1849-4074-802B-1C8842C77CF7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40% du volume total des remblais au niveau du bassin de lixiviats</t>
        </r>
      </text>
    </comment>
    <comment ref="H59" authorId="0" shapeId="0" xr:uid="{811CAA55-0265-496F-A8D7-1D4062697D6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60" authorId="0" shapeId="0" xr:uid="{E15D7904-CB72-49DB-94EA-2E127EAD12B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61" authorId="0" shapeId="0" xr:uid="{AC6C1E5A-0CBF-4B9E-BD82-4010F705720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62" authorId="0" shapeId="0" xr:uid="{BA33DBCF-A313-485D-A33B-20492BCB251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H63" authorId="0" shapeId="0" xr:uid="{47682371-8CBD-4C4C-A83E-3A079F4EA56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Fourniture: Prix CIF du fournisseur GEOS pour COMILOG en 2013 majoré de 40% + 2000 F/m² pour la pose</t>
        </r>
      </text>
    </comment>
    <comment ref="H64" authorId="0" shapeId="0" xr:uid="{74409957-C576-4486-8559-AE640BF1A51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67" authorId="0" shapeId="0" xr:uid="{CE941E70-56D9-4583-B538-CA174A231E5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8" authorId="0" shapeId="0" xr:uid="{0B88C0FA-D8F3-4749-863C-5A6F6F8BF59F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15% du volume total des déblais au niveau de la plateforme technique</t>
        </r>
      </text>
    </comment>
    <comment ref="H68" authorId="0" shapeId="0" xr:uid="{B96A5C50-7EB1-4A01-A92E-27C2D808726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C69" authorId="0" shapeId="0" xr:uid="{31FC5BDF-1589-47D2-8279-721D1BC508D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Estimation: 50% du volume total des remblais au niveau de la plateforme technique</t>
        </r>
      </text>
    </comment>
    <comment ref="H69" authorId="0" shapeId="0" xr:uid="{1E3F30D9-F584-44CE-B892-6C378FB8D37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70" authorId="0" shapeId="0" xr:uid="{04B17292-317B-4ADC-B55E-2FDDABCFB71E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73" authorId="0" shapeId="0" xr:uid="{ACCBCE05-CC54-4C4E-8591-8659C0C7BCF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Nkoltang</t>
        </r>
      </text>
    </comment>
    <comment ref="H74" authorId="0" shapeId="0" xr:uid="{53F6C0E4-3CD3-4EE0-B599-59FF3AD858A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75" authorId="0" shapeId="0" xr:uid="{8A32E088-58E2-49EF-991D-8EE8BA8DFCA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76" authorId="0" shapeId="0" xr:uid="{ADEF95F0-3055-46D5-89FB-F08BB54BBED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JB</t>
        </r>
      </text>
    </comment>
    <comment ref="H79" authorId="0" shapeId="0" xr:uid="{C3F1EEA3-8FBF-4048-A6A3-93FB0761FC2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0" authorId="0" shapeId="0" xr:uid="{8A160E8A-98E4-42FA-B6B0-78E45CFC2FF0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1" authorId="0" shapeId="0" xr:uid="{AAC77AF5-22CF-4740-B3FF-E977F061B23D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2" authorId="0" shapeId="0" xr:uid="{EF24C73E-D7C0-450C-9855-D1DFAF9E51EA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3" authorId="0" shapeId="0" xr:uid="{3D77F8FE-F4CA-4D8B-91C2-7675579C7BB2}">
      <text>
        <r>
          <rPr>
            <b/>
            <sz val="9"/>
            <color indexed="81"/>
            <rFont val="Tahoma"/>
            <charset val="1"/>
          </rPr>
          <t>User Lenovo:</t>
        </r>
        <r>
          <rPr>
            <sz val="9"/>
            <color indexed="81"/>
            <rFont val="Tahoma"/>
            <charset val="1"/>
          </rPr>
          <t xml:space="preserve">
Estimaf</t>
        </r>
      </text>
    </comment>
    <comment ref="H84" authorId="0" shapeId="0" xr:uid="{3835455E-F2BF-4192-98A6-3893CE98263E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5" authorId="0" shapeId="0" xr:uid="{C84D7CF1-A93F-4BF2-B4E2-8590D609741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6" authorId="0" shapeId="0" xr:uid="{D90C2747-6000-4BCF-B9B6-EF53F98BCB71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87" authorId="0" shapeId="0" xr:uid="{BAF6013E-E976-4996-A3A2-82FD9AA3D39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90" authorId="0" shapeId="0" xr:uid="{DE2DB8DA-E7E1-40ED-8E3E-85E03EB0BE03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JB</t>
        </r>
      </text>
    </comment>
    <comment ref="H91" authorId="0" shapeId="0" xr:uid="{4A266A0C-0D46-44ED-8DD1-4D410B041A9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92" authorId="0" shapeId="0" xr:uid="{9F0D27D8-0312-4EA9-A87D-2B4D8AA0FEE2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96" authorId="0" shapeId="0" xr:uid="{32A64890-F3FF-46DF-8273-F4F7925A7BD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97" authorId="0" shapeId="0" xr:uid="{37B77554-B4D6-4915-9853-9C427D1D6C2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Réf voiries de Kango</t>
        </r>
      </text>
    </comment>
    <comment ref="H100" authorId="0" shapeId="0" xr:uid="{C1E0AE0C-8EE3-492C-9D93-ACA554B1E5D6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101" authorId="0" shapeId="0" xr:uid="{E96184D3-7482-427C-8B63-E381904B4D15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102" authorId="0" shapeId="0" xr:uid="{EE84AFD6-87B0-4ED7-8638-5BF23699518B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103" authorId="0" shapeId="0" xr:uid="{A2D7E3D7-A527-4B66-A90D-BF67E45B8CB8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  <comment ref="H104" authorId="0" shapeId="0" xr:uid="{D98817AB-92F9-41AC-BEC3-0F1D86A87604}">
      <text>
        <r>
          <rPr>
            <b/>
            <sz val="9"/>
            <color indexed="81"/>
            <rFont val="Tahoma"/>
            <family val="2"/>
          </rPr>
          <t>User Lenovo:</t>
        </r>
        <r>
          <rPr>
            <sz val="9"/>
            <color indexed="81"/>
            <rFont val="Tahoma"/>
            <family val="2"/>
          </rPr>
          <t xml:space="preserve">
Estimatif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<sst xmlns="http://schemas.openxmlformats.org/spreadsheetml/2006/main" count="529" uniqueCount="120">
  <si>
    <t>Quantité</t>
  </si>
  <si>
    <t>Unité</t>
  </si>
  <si>
    <t>Prix total</t>
  </si>
  <si>
    <t>Forfaitaire</t>
  </si>
  <si>
    <t>ml</t>
  </si>
  <si>
    <t>Etude APD</t>
  </si>
  <si>
    <t>EIES</t>
  </si>
  <si>
    <t>mois</t>
  </si>
  <si>
    <t>AMENAGEMENT DE LA PLATEFORME TECHNIQUE</t>
  </si>
  <si>
    <t>m²</t>
  </si>
  <si>
    <t>INSTALLATION DE CHANTIER</t>
  </si>
  <si>
    <t>Signalisation, balisage et sécurité de chantier</t>
  </si>
  <si>
    <t>Études d’exécution et plans</t>
  </si>
  <si>
    <t>Plan d’Assurance Qualité (PAQ) et plan de contrôle</t>
  </si>
  <si>
    <t xml:space="preserve">AMENAGEMENT DU 1ER CASIER </t>
  </si>
  <si>
    <t>ÉTUDES, INGÉNIERIE ET MISSIONS D’APPUI</t>
  </si>
  <si>
    <t>Défrichage et tri des déchets végétaux, mise en stock y compris les 30 premiers cm de terre végétale</t>
  </si>
  <si>
    <t>Déblais en terrain naturel et mise en dépôt</t>
  </si>
  <si>
    <t>Regards et puits de collecte des lixiviats</t>
  </si>
  <si>
    <t>AMENAGEMENT DU BASSINS DE LIXIVIATS</t>
  </si>
  <si>
    <t>Réglage et compactage de la plateforme</t>
  </si>
  <si>
    <t>CLÔTURES, BÂTIMENTS ET ÉQUIPEMENTS</t>
  </si>
  <si>
    <t>Guérite de contrôle et poste de garde</t>
  </si>
  <si>
    <t>Massif pour Pont bascule</t>
  </si>
  <si>
    <t>Aménagement paysager et traitement des abords</t>
  </si>
  <si>
    <t>Réseau d’adduction d’eau du site</t>
  </si>
  <si>
    <t>FORAGES ET PIÉZOMÈTRES</t>
  </si>
  <si>
    <t>Piézomètres de suivi des nappes (4 piezo  à 20, 25, 40, 60  m  en D110 mm )</t>
  </si>
  <si>
    <t>Aménagement de tête de puits et clôtures de protection</t>
  </si>
  <si>
    <t>Réseaux électriques internes (bâtiments, pont bascule, équipements)</t>
  </si>
  <si>
    <t>ÉLECTRICITÉ</t>
  </si>
  <si>
    <t>ESSAIS, CONTRÔLE QUALITÉ ET MISSION DE CONTRÔLE</t>
  </si>
  <si>
    <t xml:space="preserve">Essais et contrôles sur géomembranes </t>
  </si>
  <si>
    <t>Dossier des ouvrages exécutés (DOE) et plans de récolement</t>
  </si>
  <si>
    <t>Mission de contrôle technique interne et suivi des travaux</t>
  </si>
  <si>
    <t>Divers et imprévus</t>
  </si>
  <si>
    <t>Apuis à l'administration</t>
  </si>
  <si>
    <t>Gestion environnementale du chantier (Déchet, arrosage, pistes, etc.)</t>
  </si>
  <si>
    <t>U</t>
  </si>
  <si>
    <t>Sous-total de prix 100</t>
  </si>
  <si>
    <t>Sous-total de prix 200</t>
  </si>
  <si>
    <t>Sous-total de prix 300</t>
  </si>
  <si>
    <t>Sous-total de prix 400</t>
  </si>
  <si>
    <t>Sous-total de prix 500</t>
  </si>
  <si>
    <t>Sous-total de prix 600</t>
  </si>
  <si>
    <t>Sous-total de prix 700</t>
  </si>
  <si>
    <t>Sous-total de prix 800</t>
  </si>
  <si>
    <t>Sous-total de prix 900</t>
  </si>
  <si>
    <t>Sous-total de prix 1000</t>
  </si>
  <si>
    <t>Sous-total de prix 1100</t>
  </si>
  <si>
    <t>Sous-total de prix 1200</t>
  </si>
  <si>
    <t>TVA (18%)</t>
  </si>
  <si>
    <t>CSS (1%)</t>
  </si>
  <si>
    <t>Casier n°1 + Bassin des Luxiviats + Plateforme technique</t>
  </si>
  <si>
    <t>Installation générale du chantier y compris amené et repli du matériel</t>
  </si>
  <si>
    <t>Levé tpograpique détaillé de l'emprise du projet</t>
  </si>
  <si>
    <t>Etude Géotechnique</t>
  </si>
  <si>
    <t>HA</t>
  </si>
  <si>
    <t>Réglage et compactage des plateformes des 3 alvéoles</t>
  </si>
  <si>
    <t>Mise en place d'une couche d'argile sur une Ep=1m (barrière de protection passive)</t>
  </si>
  <si>
    <t xml:space="preserve">Pose des collecteur de lixiviats au fond du casier </t>
  </si>
  <si>
    <t>Réglage et compactage de la plateforme du bassin</t>
  </si>
  <si>
    <t>Rampe d'accès à la plateforme technique en BAC (largeur=7m + 2 trottires*1,5m + Caniveaux)</t>
  </si>
  <si>
    <t>Forage d’eau à 50m de profondeur</t>
  </si>
  <si>
    <r>
      <t xml:space="preserve">Bâtiment d’exploitation et locaux sociaux </t>
    </r>
    <r>
      <rPr>
        <sz val="10"/>
        <color theme="1"/>
        <rFont val="Arial"/>
        <family val="2"/>
      </rPr>
      <t>(bureau d'exploitation=18m², bureau poste de pesée=6m², vestiaires=18m²)</t>
    </r>
  </si>
  <si>
    <t>Portails d’accès (Portail à double venteau de 8m de largeur)</t>
  </si>
  <si>
    <t>Pistes d’accès internes au 1 er casier et au bassin de lixiviats en latérite (largeur 3m)</t>
  </si>
  <si>
    <t>Réseau d’assainissement interne (Fosse septique et regards)</t>
  </si>
  <si>
    <t>Alimentation électrique du site (branchement avec le réseau SEEG depuis la voie principale)</t>
  </si>
  <si>
    <t>Essais géotechniques au laboratoire sur matériaux et béton</t>
  </si>
  <si>
    <t>Essais géotechniques  in-situ pour les travaux de terrassements (Proctor, CBR, densité, plaques)</t>
  </si>
  <si>
    <t>Imprévus (10%)</t>
  </si>
  <si>
    <t>Défrichage et tri des déchets végétaux, mise en stock y compris les 20 premiers cm de terre végétale</t>
  </si>
  <si>
    <t>Aménagement des pistes de roulage en latérite graveleux (Ep=30cm) à l'intérieur de la zone de stockage</t>
  </si>
  <si>
    <t>Gestion des eaux pluviales de la zone de stockage (fossés en terre, bassin de décantation, exutoire)</t>
  </si>
  <si>
    <r>
      <t>TRAVAUX D'AMENAGEMENT DE LA PLATEFORME DE STOCKAGE DES PRODUITS DE DEBLAIS (Superficie= 4HA, Volume de déblais à stocker =532 000 m</t>
    </r>
    <r>
      <rPr>
        <b/>
        <vertAlign val="superscript"/>
        <sz val="11"/>
        <color theme="1"/>
        <rFont val="Arial"/>
        <family val="2"/>
      </rPr>
      <t>3</t>
    </r>
    <r>
      <rPr>
        <b/>
        <sz val="11"/>
        <color theme="1"/>
        <rFont val="Arial"/>
        <family val="2"/>
      </rPr>
      <t>)</t>
    </r>
  </si>
  <si>
    <t>Mise en place d'un matériaux drainant (sable) Ep=30 cm</t>
  </si>
  <si>
    <t>Remblais pour remodelage de la plateforme (matériaux de déblai)</t>
  </si>
  <si>
    <t>Remblais pour remodelage du bassin (matériaux de déblai)</t>
  </si>
  <si>
    <t>Remblais pour remodelage du casier 1 (matériaux de déblai)</t>
  </si>
  <si>
    <t>Aires de manœuvre, parking et zones de déchargement en BAC (Ep=20 cm)</t>
  </si>
  <si>
    <t>Fossés, caniveaux et ouvrages de collecte des eaux pluviales (Caniveaux avec dallettes)</t>
  </si>
  <si>
    <t>Éclairage solaires + massif en BA (accès, zones de déchargement, parkings)</t>
  </si>
  <si>
    <t>Clôture périmétrique du site en grillage (hauteur=2m)</t>
  </si>
  <si>
    <t>Fourniture et pose d'une nappe de GSB (géomembrane bentonitique)</t>
  </si>
  <si>
    <t>Fourniture et pose d'une nappe de géomemebrane en PEHD=2mm</t>
  </si>
  <si>
    <t>Fourniture et pose d'une nappe de géotextile de protection supérieur</t>
  </si>
  <si>
    <t>Raccordements avec le bassin de lixiviats</t>
  </si>
  <si>
    <t>VOIRIES INTERNES</t>
  </si>
  <si>
    <r>
      <t>m</t>
    </r>
    <r>
      <rPr>
        <vertAlign val="superscript"/>
        <sz val="11"/>
        <rFont val="Arial"/>
        <family val="2"/>
      </rPr>
      <t>3</t>
    </r>
  </si>
  <si>
    <t>Plateforme technique: 8 681 m²</t>
  </si>
  <si>
    <t>Construction d'un abri pour le stationnement des engins</t>
  </si>
  <si>
    <r>
      <t>Bassin de lixiviats: Capacité 10 000 m</t>
    </r>
    <r>
      <rPr>
        <b/>
        <vertAlign val="superscript"/>
        <sz val="12"/>
        <color theme="1"/>
        <rFont val="Arial"/>
        <family val="2"/>
      </rPr>
      <t>3</t>
    </r>
  </si>
  <si>
    <r>
      <t>Casier 1: Capacité 880 000 m</t>
    </r>
    <r>
      <rPr>
        <b/>
        <vertAlign val="superscript"/>
        <sz val="12"/>
        <color theme="1"/>
        <rFont val="Arial"/>
        <family val="2"/>
      </rPr>
      <t>3</t>
    </r>
  </si>
  <si>
    <t xml:space="preserve">AMENAGEMENT D'UN CENTRE D'ENFOUISSEMENT TECHNIQUE A NKOLTANG </t>
  </si>
  <si>
    <t>Prix unitaire</t>
  </si>
  <si>
    <t xml:space="preserve">MONTANT TOTAL DES TRAVAUX HT </t>
  </si>
  <si>
    <t>MONTANT TOTAL DES TRAVAUX TTC XAF</t>
  </si>
  <si>
    <t>Libreville, le 07 Janvier 2026</t>
  </si>
  <si>
    <t>ADMINISTRATEUR DIRECTEUR GENERAL</t>
  </si>
  <si>
    <t>Patrice REVANGUE ZAVROSA</t>
  </si>
  <si>
    <t>Arrêté le présent budget à la somme TTC de: cinq milliards quatre cent trente-sept millions cinq cent cinquante-cinq mille six cent soixante-six francs CFA</t>
  </si>
  <si>
    <t>DETAIL QUANTITATIF ESTIMATIF</t>
  </si>
  <si>
    <t>SYNTHESE DES TRAVAUX</t>
  </si>
  <si>
    <t>Designation</t>
  </si>
  <si>
    <t>N ° Poste</t>
  </si>
  <si>
    <t>N ° de Devis MS/LAN/PRZ/003/12/24</t>
  </si>
  <si>
    <t>DIVERS ET IMPREVUS</t>
  </si>
  <si>
    <t>DESIGNATION</t>
  </si>
  <si>
    <t>MONTANT</t>
  </si>
  <si>
    <t>N ° POSTE</t>
  </si>
  <si>
    <r>
      <t>TRAVAUX D'AMENAGEMENT DE LA PLATEFORME DE STOCKAGE DES PRODUITS DE DEBLAIS (Superficie= 4HA, Volume de déblais à stocker =532 000 m</t>
    </r>
    <r>
      <rPr>
        <vertAlign val="superscript"/>
        <sz val="12"/>
        <color theme="1"/>
        <rFont val="Arial"/>
        <family val="2"/>
      </rPr>
      <t>3</t>
    </r>
    <r>
      <rPr>
        <sz val="12"/>
        <color theme="1"/>
        <rFont val="Arial"/>
        <family val="2"/>
      </rPr>
      <t>)</t>
    </r>
  </si>
  <si>
    <t>BORDEREAU DES PRIX UNITAIRES</t>
  </si>
  <si>
    <t>SOUS-DETAILS DES PRIX UNITAIRES</t>
  </si>
  <si>
    <t>Fourniture</t>
  </si>
  <si>
    <t>Matériel</t>
  </si>
  <si>
    <t>Main d'œuvre</t>
  </si>
  <si>
    <t>Prix en chiffre XAF</t>
  </si>
  <si>
    <t>Prix en lettres XAF</t>
  </si>
  <si>
    <t xml:space="preserve">AMÉNAGEMENT D'UN CENTRE D'ENFOUISSEMENT TECHNIQUE A NKOLTANG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</si>
</sst>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2060"/>
      <name val="Arial"/>
      <family val="2"/>
    </font>
    <font>
      <b/>
      <sz val="12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b/>
      <vertAlign val="superscript"/>
      <sz val="11"/>
      <color theme="1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70C0"/>
      <name val="Arial"/>
      <family val="2"/>
    </font>
    <font>
      <vertAlign val="superscript"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vertAlign val="superscript"/>
      <sz val="12"/>
      <color theme="1"/>
      <name val="Arial"/>
      <family val="2"/>
    </font>
    <font>
      <b/>
      <sz val="18"/>
      <color theme="1"/>
      <name val="Arial"/>
      <family val="2"/>
    </font>
    <font>
      <b/>
      <u/>
      <sz val="16"/>
      <color rgb="FF0070C0"/>
      <name val="Arial"/>
      <family val="2"/>
    </font>
    <font>
      <u/>
      <sz val="12"/>
      <name val="Arial"/>
      <family val="2"/>
    </font>
    <font>
      <sz val="12"/>
      <color theme="1"/>
      <name val="Arial"/>
      <family val="2"/>
    </font>
    <font>
      <vertAlign val="superscript"/>
      <sz val="12"/>
      <color theme="1"/>
      <name val="Arial"/>
      <family val="2"/>
    </font>
    <font>
      <b/>
      <sz val="14"/>
      <color theme="1"/>
      <name val="Arial"/>
      <family val="2"/>
    </font>
    <font>
      <b/>
      <sz val="14"/>
      <color rgb="FF002060"/>
      <name val="Arial"/>
      <family val="2"/>
    </font>
    <font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3" fontId="1" fillId="2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3" fontId="1" fillId="2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3" fontId="7" fillId="2" borderId="4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3" fontId="7" fillId="2" borderId="3" xfId="0" applyNumberFormat="1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3" fontId="12" fillId="2" borderId="9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3" fontId="7" fillId="2" borderId="10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3" fontId="12" fillId="2" borderId="2" xfId="0" applyNumberFormat="1" applyFont="1" applyFill="1" applyBorder="1" applyAlignment="1">
      <alignment horizontal="center" vertical="center"/>
    </xf>
    <xf numFmtId="3" fontId="12" fillId="2" borderId="6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2" fillId="0" borderId="3" xfId="0" applyFont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3" fontId="5" fillId="2" borderId="21" xfId="0" applyNumberFormat="1" applyFont="1" applyFill="1" applyBorder="1" applyAlignment="1">
      <alignment horizontal="center" vertical="center"/>
    </xf>
    <xf numFmtId="3" fontId="3" fillId="2" borderId="23" xfId="0" applyNumberFormat="1" applyFont="1" applyFill="1" applyBorder="1" applyAlignment="1">
      <alignment horizontal="center" vertical="center"/>
    </xf>
    <xf numFmtId="3" fontId="5" fillId="2" borderId="23" xfId="0" applyNumberFormat="1" applyFont="1" applyFill="1" applyBorder="1" applyAlignment="1">
      <alignment horizontal="center" vertical="center"/>
    </xf>
    <xf numFmtId="0" fontId="1" fillId="2" borderId="24" xfId="0" applyFont="1" applyFill="1" applyBorder="1"/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1" fillId="2" borderId="4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wrapText="1"/>
    </xf>
    <xf numFmtId="0" fontId="1" fillId="2" borderId="3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7" fillId="2" borderId="12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4" fillId="0" borderId="28" xfId="0" applyFont="1" applyBorder="1" applyAlignment="1">
      <alignment horizontal="center" vertical="center"/>
    </xf>
    <xf numFmtId="3" fontId="20" fillId="0" borderId="29" xfId="0" applyNumberFormat="1" applyFont="1" applyBorder="1" applyAlignment="1">
      <alignment horizontal="center" vertical="center"/>
    </xf>
    <xf numFmtId="3" fontId="20" fillId="0" borderId="30" xfId="0" applyNumberFormat="1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3" fontId="23" fillId="2" borderId="31" xfId="0" applyNumberFormat="1" applyFont="1" applyFill="1" applyBorder="1" applyAlignment="1">
      <alignment horizontal="center" vertical="center"/>
    </xf>
    <xf numFmtId="3" fontId="23" fillId="2" borderId="29" xfId="0" applyNumberFormat="1" applyFont="1" applyFill="1" applyBorder="1" applyAlignment="1">
      <alignment horizontal="center" vertical="center"/>
    </xf>
    <xf numFmtId="3" fontId="23" fillId="2" borderId="30" xfId="0" applyNumberFormat="1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3" fontId="24" fillId="2" borderId="4" xfId="0" applyNumberFormat="1" applyFont="1" applyFill="1" applyBorder="1" applyAlignment="1">
      <alignment horizontal="center" vertical="center"/>
    </xf>
    <xf numFmtId="3" fontId="24" fillId="2" borderId="1" xfId="0" applyNumberFormat="1" applyFont="1" applyFill="1" applyBorder="1" applyAlignment="1">
      <alignment horizontal="center" vertical="center"/>
    </xf>
    <xf numFmtId="3" fontId="24" fillId="2" borderId="4" xfId="0" applyNumberFormat="1" applyFont="1" applyFill="1" applyBorder="1" applyAlignment="1">
      <alignment horizontal="center" vertical="center" wrapText="1"/>
    </xf>
    <xf numFmtId="3" fontId="24" fillId="2" borderId="1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3" fontId="5" fillId="2" borderId="31" xfId="0" applyNumberFormat="1" applyFont="1" applyFill="1" applyBorder="1" applyAlignment="1">
      <alignment horizontal="center" vertical="center"/>
    </xf>
    <xf numFmtId="3" fontId="3" fillId="2" borderId="29" xfId="0" applyNumberFormat="1" applyFont="1" applyFill="1" applyBorder="1" applyAlignment="1">
      <alignment horizontal="center" vertical="center"/>
    </xf>
    <xf numFmtId="3" fontId="5" fillId="2" borderId="29" xfId="0" applyNumberFormat="1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22" fillId="2" borderId="19" xfId="0" applyFont="1" applyFill="1" applyBorder="1" applyAlignment="1">
      <alignment horizontal="left" vertical="center"/>
    </xf>
    <xf numFmtId="0" fontId="22" fillId="2" borderId="20" xfId="0" applyFont="1" applyFill="1" applyBorder="1" applyAlignment="1">
      <alignment horizontal="left" vertical="center"/>
    </xf>
    <xf numFmtId="0" fontId="22" fillId="2" borderId="22" xfId="0" applyFont="1" applyFill="1" applyBorder="1" applyAlignment="1">
      <alignment horizontal="left" vertical="center"/>
    </xf>
    <xf numFmtId="0" fontId="22" fillId="2" borderId="6" xfId="0" applyFont="1" applyFill="1" applyBorder="1" applyAlignment="1">
      <alignment horizontal="left" vertical="center"/>
    </xf>
    <xf numFmtId="0" fontId="22" fillId="2" borderId="24" xfId="0" applyFont="1" applyFill="1" applyBorder="1" applyAlignment="1">
      <alignment horizontal="left" vertical="center"/>
    </xf>
    <xf numFmtId="0" fontId="22" fillId="2" borderId="25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 wrapText="1"/>
    </xf>
    <xf numFmtId="0" fontId="20" fillId="2" borderId="0" xfId="0" applyFont="1" applyFill="1" applyAlignment="1">
      <alignment horizontal="left" vertical="center"/>
    </xf>
    <xf numFmtId="0" fontId="20" fillId="0" borderId="22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 wrapText="1"/>
    </xf>
    <xf numFmtId="0" fontId="20" fillId="0" borderId="23" xfId="0" applyFont="1" applyBorder="1" applyAlignment="1">
      <alignment horizontal="left" vertical="center" wrapText="1"/>
    </xf>
    <xf numFmtId="0" fontId="20" fillId="0" borderId="22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20" fillId="0" borderId="23" xfId="0" applyFont="1" applyBorder="1" applyAlignment="1">
      <alignment horizontal="left" vertical="center"/>
    </xf>
    <xf numFmtId="0" fontId="20" fillId="0" borderId="24" xfId="0" applyFont="1" applyBorder="1" applyAlignment="1">
      <alignment horizontal="left" vertical="center"/>
    </xf>
    <xf numFmtId="0" fontId="20" fillId="0" borderId="25" xfId="0" applyFont="1" applyBorder="1" applyAlignment="1">
      <alignment horizontal="left" vertical="center"/>
    </xf>
    <xf numFmtId="0" fontId="20" fillId="0" borderId="26" xfId="0" applyFont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33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left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2" borderId="19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4" fillId="2" borderId="22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95251</xdr:rowOff>
    </xdr:from>
    <xdr:to>
      <xdr:col>1</xdr:col>
      <xdr:colOff>1543050</xdr:colOff>
      <xdr:row>7</xdr:row>
      <xdr:rowOff>57150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CD64A03-269E-4226-A308-0975B9C81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51"/>
          <a:ext cx="2257425" cy="1228724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0</xdr:row>
      <xdr:rowOff>133350</xdr:rowOff>
    </xdr:from>
    <xdr:to>
      <xdr:col>5</xdr:col>
      <xdr:colOff>1533526</xdr:colOff>
      <xdr:row>11</xdr:row>
      <xdr:rowOff>85725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C19DB62-9D41-4D4B-9476-70AEC9277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1" y="133350"/>
          <a:ext cx="2305050" cy="1943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95251</xdr:rowOff>
    </xdr:from>
    <xdr:to>
      <xdr:col>1</xdr:col>
      <xdr:colOff>1666875</xdr:colOff>
      <xdr:row>7</xdr:row>
      <xdr:rowOff>57150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1F3DD01-63D2-5B62-1A2A-6A8FAF518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51"/>
          <a:ext cx="2257425" cy="1228724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628651</xdr:colOff>
      <xdr:row>0</xdr:row>
      <xdr:rowOff>114300</xdr:rowOff>
    </xdr:from>
    <xdr:to>
      <xdr:col>5</xdr:col>
      <xdr:colOff>1114426</xdr:colOff>
      <xdr:row>11</xdr:row>
      <xdr:rowOff>66675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34036558-A55B-9BAB-6313-70D62E87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126" y="114300"/>
          <a:ext cx="2305050" cy="1943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95251</xdr:rowOff>
    </xdr:from>
    <xdr:to>
      <xdr:col>1</xdr:col>
      <xdr:colOff>1666875</xdr:colOff>
      <xdr:row>7</xdr:row>
      <xdr:rowOff>57150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5957200-85CB-49F8-A719-682428586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51"/>
          <a:ext cx="2257425" cy="1228724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238126</xdr:colOff>
      <xdr:row>0</xdr:row>
      <xdr:rowOff>85725</xdr:rowOff>
    </xdr:from>
    <xdr:to>
      <xdr:col>5</xdr:col>
      <xdr:colOff>1209676</xdr:colOff>
      <xdr:row>11</xdr:row>
      <xdr:rowOff>38100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28CA125-0E4B-4879-868E-257547D90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3276" y="85725"/>
          <a:ext cx="2305050" cy="1943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95251</xdr:rowOff>
    </xdr:from>
    <xdr:to>
      <xdr:col>1</xdr:col>
      <xdr:colOff>1666875</xdr:colOff>
      <xdr:row>7</xdr:row>
      <xdr:rowOff>57150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4C34C12-73CC-44FD-AFDE-6248B685F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51"/>
          <a:ext cx="2257425" cy="1228724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628651</xdr:colOff>
      <xdr:row>0</xdr:row>
      <xdr:rowOff>114300</xdr:rowOff>
    </xdr:from>
    <xdr:to>
      <xdr:col>6</xdr:col>
      <xdr:colOff>590551</xdr:colOff>
      <xdr:row>11</xdr:row>
      <xdr:rowOff>66675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A53A354-4DB9-4896-B7A9-CA2391659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1" y="114300"/>
          <a:ext cx="2305050" cy="194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38101</xdr:rowOff>
    </xdr:from>
    <xdr:to>
      <xdr:col>8</xdr:col>
      <xdr:colOff>685800</xdr:colOff>
      <xdr:row>22</xdr:row>
      <xdr:rowOff>107185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38101"/>
          <a:ext cx="6657975" cy="4260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720745</xdr:colOff>
      <xdr:row>0</xdr:row>
      <xdr:rowOff>38099</xdr:rowOff>
    </xdr:from>
    <xdr:to>
      <xdr:col>18</xdr:col>
      <xdr:colOff>238125</xdr:colOff>
      <xdr:row>17</xdr:row>
      <xdr:rowOff>131064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6745" y="38099"/>
          <a:ext cx="7137380" cy="3331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DFE93-8709-4FA3-9267-D86AD4AD3262}">
  <sheetPr codeName="Feuil1"/>
  <dimension ref="A2:F50"/>
  <sheetViews>
    <sheetView tabSelected="1" view="pageBreakPreview" topLeftCell="A28" zoomScaleNormal="100" zoomScaleSheetLayoutView="100" workbookViewId="0">
      <selection activeCell="I32" sqref="I32"/>
    </sheetView>
  </sheetViews>
  <sheetFormatPr baseColWidth="10" defaultColWidth="9.140625" defaultRowHeight="14.25" x14ac:dyDescent="0.2"/>
  <cols>
    <col min="1" max="1" width="11.7109375" style="2" customWidth="1"/>
    <col min="2" max="2" width="70.140625" style="1" customWidth="1"/>
    <col min="3" max="3" width="12" style="2" customWidth="1"/>
    <col min="4" max="4" width="11.7109375" style="2" customWidth="1"/>
    <col min="5" max="5" width="0.28515625" style="2" customWidth="1"/>
    <col min="6" max="6" width="25.28515625" style="2" customWidth="1"/>
    <col min="7" max="16384" width="9.140625" style="1"/>
  </cols>
  <sheetData>
    <row r="2" spans="1:6" x14ac:dyDescent="0.2">
      <c r="A2" s="31"/>
      <c r="B2" s="31"/>
    </row>
    <row r="3" spans="1:6" x14ac:dyDescent="0.2">
      <c r="A3" s="31"/>
      <c r="B3" s="31"/>
    </row>
    <row r="4" spans="1:6" x14ac:dyDescent="0.2">
      <c r="A4" s="31"/>
      <c r="B4" s="31"/>
    </row>
    <row r="5" spans="1:6" x14ac:dyDescent="0.2">
      <c r="A5" s="31"/>
      <c r="B5" s="31"/>
    </row>
    <row r="6" spans="1:6" x14ac:dyDescent="0.2">
      <c r="A6" s="31"/>
      <c r="B6" s="31"/>
    </row>
    <row r="7" spans="1:6" x14ac:dyDescent="0.2">
      <c r="A7" s="31"/>
      <c r="B7" s="31"/>
    </row>
    <row r="8" spans="1:6" x14ac:dyDescent="0.2">
      <c r="A8" s="31"/>
      <c r="B8" s="31"/>
      <c r="C8" s="31"/>
      <c r="D8" s="32"/>
      <c r="E8" s="93"/>
      <c r="F8" s="93"/>
    </row>
    <row r="9" spans="1:6" x14ac:dyDescent="0.2">
      <c r="A9" s="31"/>
      <c r="B9" s="31"/>
      <c r="E9" s="94"/>
      <c r="F9" s="94"/>
    </row>
    <row r="12" spans="1:6" ht="15" thickBot="1" x14ac:dyDescent="0.25"/>
    <row r="13" spans="1:6" ht="32.25" customHeight="1" thickBot="1" x14ac:dyDescent="0.25">
      <c r="A13" s="95" t="s">
        <v>119</v>
      </c>
      <c r="B13" s="96"/>
      <c r="C13" s="96"/>
      <c r="D13" s="96"/>
      <c r="E13" s="96"/>
      <c r="F13" s="97"/>
    </row>
    <row r="14" spans="1:6" ht="23.25" x14ac:dyDescent="0.2">
      <c r="A14" s="50"/>
      <c r="B14" s="70"/>
      <c r="C14" s="70"/>
      <c r="D14" s="70"/>
      <c r="E14" s="70"/>
      <c r="F14" s="50"/>
    </row>
    <row r="15" spans="1:6" ht="20.25" x14ac:dyDescent="0.2">
      <c r="A15" s="98" t="s">
        <v>53</v>
      </c>
      <c r="B15" s="98"/>
      <c r="C15" s="98"/>
      <c r="D15" s="98"/>
      <c r="E15" s="98"/>
      <c r="F15" s="98"/>
    </row>
    <row r="16" spans="1:6" ht="20.25" x14ac:dyDescent="0.2">
      <c r="A16" s="69"/>
      <c r="B16" s="99" t="s">
        <v>93</v>
      </c>
      <c r="C16" s="99"/>
      <c r="D16" s="99"/>
      <c r="E16" s="99"/>
      <c r="F16" s="99"/>
    </row>
    <row r="17" spans="1:6" ht="20.25" x14ac:dyDescent="0.2">
      <c r="A17" s="69"/>
      <c r="B17" s="99" t="s">
        <v>92</v>
      </c>
      <c r="C17" s="99"/>
      <c r="D17" s="99"/>
      <c r="E17" s="99"/>
      <c r="F17" s="99"/>
    </row>
    <row r="18" spans="1:6" ht="20.25" x14ac:dyDescent="0.2">
      <c r="A18" s="69"/>
      <c r="B18" s="99" t="s">
        <v>90</v>
      </c>
      <c r="C18" s="99"/>
      <c r="D18" s="99"/>
      <c r="E18" s="99"/>
      <c r="F18" s="99"/>
    </row>
    <row r="20" spans="1:6" ht="20.25" x14ac:dyDescent="0.2">
      <c r="A20" s="100" t="s">
        <v>103</v>
      </c>
      <c r="B20" s="99"/>
      <c r="C20" s="99"/>
      <c r="D20" s="99"/>
      <c r="E20" s="99"/>
      <c r="F20" s="99"/>
    </row>
    <row r="21" spans="1:6" ht="20.25" x14ac:dyDescent="0.2">
      <c r="A21" s="51"/>
      <c r="B21" s="6"/>
      <c r="C21" s="6"/>
      <c r="D21" s="6"/>
      <c r="E21" s="6"/>
      <c r="F21" s="6"/>
    </row>
    <row r="22" spans="1:6" ht="14.1" customHeight="1" x14ac:dyDescent="0.2">
      <c r="A22" s="101" t="s">
        <v>106</v>
      </c>
      <c r="B22" s="101"/>
      <c r="C22" s="6"/>
      <c r="D22" s="6"/>
      <c r="E22" s="6"/>
      <c r="F22" s="6"/>
    </row>
    <row r="23" spans="1:6" ht="15" thickBot="1" x14ac:dyDescent="0.25"/>
    <row r="24" spans="1:6" ht="18.75" customHeight="1" x14ac:dyDescent="0.25">
      <c r="A24" s="54" t="s">
        <v>110</v>
      </c>
      <c r="B24" s="102" t="s">
        <v>108</v>
      </c>
      <c r="C24" s="103"/>
      <c r="D24" s="103"/>
      <c r="E24" s="104"/>
      <c r="F24" s="55" t="s">
        <v>109</v>
      </c>
    </row>
    <row r="25" spans="1:6" ht="19.5" customHeight="1" x14ac:dyDescent="0.2">
      <c r="A25" s="58">
        <v>100</v>
      </c>
      <c r="B25" s="87" t="s">
        <v>10</v>
      </c>
      <c r="C25" s="88"/>
      <c r="D25" s="88"/>
      <c r="E25" s="89"/>
      <c r="F25" s="56">
        <f>+'DQE CET'!F29</f>
        <v>164000000</v>
      </c>
    </row>
    <row r="26" spans="1:6" ht="21" customHeight="1" x14ac:dyDescent="0.2">
      <c r="A26" s="59">
        <v>200</v>
      </c>
      <c r="B26" s="87" t="s">
        <v>15</v>
      </c>
      <c r="C26" s="88"/>
      <c r="D26" s="88"/>
      <c r="E26" s="89"/>
      <c r="F26" s="56">
        <f>+'DQE CET'!F37</f>
        <v>197752300</v>
      </c>
    </row>
    <row r="27" spans="1:6" ht="33" customHeight="1" x14ac:dyDescent="0.2">
      <c r="A27" s="59">
        <v>300</v>
      </c>
      <c r="B27" s="84" t="s">
        <v>111</v>
      </c>
      <c r="C27" s="85"/>
      <c r="D27" s="85"/>
      <c r="E27" s="86"/>
      <c r="F27" s="56">
        <f>+'DQE CET'!F42</f>
        <v>171168000</v>
      </c>
    </row>
    <row r="28" spans="1:6" ht="21" customHeight="1" x14ac:dyDescent="0.2">
      <c r="A28" s="59">
        <v>400</v>
      </c>
      <c r="B28" s="87" t="s">
        <v>14</v>
      </c>
      <c r="C28" s="88"/>
      <c r="D28" s="88"/>
      <c r="E28" s="89"/>
      <c r="F28" s="56">
        <f>+'DQE CET'!F56</f>
        <v>1745780136.6400001</v>
      </c>
    </row>
    <row r="29" spans="1:6" ht="18" customHeight="1" x14ac:dyDescent="0.2">
      <c r="A29" s="59">
        <v>500</v>
      </c>
      <c r="B29" s="87" t="s">
        <v>19</v>
      </c>
      <c r="C29" s="88"/>
      <c r="D29" s="88"/>
      <c r="E29" s="89"/>
      <c r="F29" s="56">
        <f>+'DQE CET'!F66</f>
        <v>521724415.19999999</v>
      </c>
    </row>
    <row r="30" spans="1:6" ht="20.25" customHeight="1" x14ac:dyDescent="0.2">
      <c r="A30" s="59">
        <v>600</v>
      </c>
      <c r="B30" s="87" t="s">
        <v>8</v>
      </c>
      <c r="C30" s="88"/>
      <c r="D30" s="88"/>
      <c r="E30" s="89"/>
      <c r="F30" s="56">
        <f>+'DQE CET'!F72</f>
        <v>326712295</v>
      </c>
    </row>
    <row r="31" spans="1:6" ht="21" customHeight="1" x14ac:dyDescent="0.2">
      <c r="A31" s="59">
        <v>700</v>
      </c>
      <c r="B31" s="87" t="s">
        <v>88</v>
      </c>
      <c r="C31" s="88"/>
      <c r="D31" s="88"/>
      <c r="E31" s="89"/>
      <c r="F31" s="56">
        <f>+'DQE CET'!F78</f>
        <v>550656497.70308125</v>
      </c>
    </row>
    <row r="32" spans="1:6" ht="18" customHeight="1" x14ac:dyDescent="0.2">
      <c r="A32" s="59">
        <v>800</v>
      </c>
      <c r="B32" s="87" t="s">
        <v>21</v>
      </c>
      <c r="C32" s="88"/>
      <c r="D32" s="88"/>
      <c r="E32" s="89"/>
      <c r="F32" s="56">
        <f>+'DQE CET'!F89</f>
        <v>219570000</v>
      </c>
    </row>
    <row r="33" spans="1:6" ht="21.75" customHeight="1" x14ac:dyDescent="0.2">
      <c r="A33" s="59">
        <v>900</v>
      </c>
      <c r="B33" s="87" t="s">
        <v>26</v>
      </c>
      <c r="C33" s="88"/>
      <c r="D33" s="88"/>
      <c r="E33" s="89"/>
      <c r="F33" s="56">
        <f>+'DQE CET'!F94</f>
        <v>32375000</v>
      </c>
    </row>
    <row r="34" spans="1:6" ht="18.75" customHeight="1" x14ac:dyDescent="0.2">
      <c r="A34" s="59">
        <v>1000</v>
      </c>
      <c r="B34" s="87" t="s">
        <v>30</v>
      </c>
      <c r="C34" s="88"/>
      <c r="D34" s="88"/>
      <c r="E34" s="89"/>
      <c r="F34" s="56">
        <f>+'DQE CET'!F99</f>
        <v>31520000</v>
      </c>
    </row>
    <row r="35" spans="1:6" ht="18" customHeight="1" x14ac:dyDescent="0.2">
      <c r="A35" s="59">
        <v>1100</v>
      </c>
      <c r="B35" s="87" t="s">
        <v>31</v>
      </c>
      <c r="C35" s="88"/>
      <c r="D35" s="88"/>
      <c r="E35" s="89"/>
      <c r="F35" s="56">
        <f>+'DQE CET'!F106</f>
        <v>158900000</v>
      </c>
    </row>
    <row r="36" spans="1:6" ht="19.5" customHeight="1" thickBot="1" x14ac:dyDescent="0.25">
      <c r="A36" s="60">
        <v>1200</v>
      </c>
      <c r="B36" s="90" t="s">
        <v>107</v>
      </c>
      <c r="C36" s="91"/>
      <c r="D36" s="91"/>
      <c r="E36" s="92"/>
      <c r="F36" s="57">
        <f>+'DQE CET'!F110</f>
        <v>449215864.45430815</v>
      </c>
    </row>
    <row r="37" spans="1:6" ht="22.5" customHeight="1" x14ac:dyDescent="0.2">
      <c r="B37" s="76" t="s">
        <v>96</v>
      </c>
      <c r="C37" s="77"/>
      <c r="D37" s="77"/>
      <c r="E37" s="77"/>
      <c r="F37" s="61">
        <f>SUM(F25:F36)</f>
        <v>4569374508.9973898</v>
      </c>
    </row>
    <row r="38" spans="1:6" ht="21" customHeight="1" x14ac:dyDescent="0.2">
      <c r="B38" s="78" t="s">
        <v>51</v>
      </c>
      <c r="C38" s="79"/>
      <c r="D38" s="79"/>
      <c r="E38" s="79"/>
      <c r="F38" s="62">
        <f>F37*0.18</f>
        <v>822487411.61953008</v>
      </c>
    </row>
    <row r="39" spans="1:6" ht="22.5" customHeight="1" x14ac:dyDescent="0.2">
      <c r="B39" s="78" t="s">
        <v>52</v>
      </c>
      <c r="C39" s="79"/>
      <c r="D39" s="79"/>
      <c r="E39" s="79"/>
      <c r="F39" s="62">
        <f>F37*0.01</f>
        <v>45693745.089973897</v>
      </c>
    </row>
    <row r="40" spans="1:6" ht="21" customHeight="1" thickBot="1" x14ac:dyDescent="0.25">
      <c r="B40" s="80" t="s">
        <v>97</v>
      </c>
      <c r="C40" s="81"/>
      <c r="D40" s="81"/>
      <c r="E40" s="81"/>
      <c r="F40" s="63">
        <f>F37+F38+F39</f>
        <v>5437555665.706893</v>
      </c>
    </row>
    <row r="42" spans="1:6" ht="30.75" customHeight="1" x14ac:dyDescent="0.2">
      <c r="A42" s="82" t="s">
        <v>101</v>
      </c>
      <c r="B42" s="82"/>
      <c r="C42" s="82"/>
      <c r="D42" s="82"/>
      <c r="E42" s="82"/>
      <c r="F42" s="82"/>
    </row>
    <row r="43" spans="1:6" ht="15" x14ac:dyDescent="0.2">
      <c r="A43" s="43"/>
      <c r="B43" s="43"/>
      <c r="C43" s="43"/>
      <c r="D43" s="43"/>
      <c r="E43" s="43"/>
      <c r="F43" s="43"/>
    </row>
    <row r="45" spans="1:6" ht="15" x14ac:dyDescent="0.2">
      <c r="A45" s="83" t="s">
        <v>98</v>
      </c>
      <c r="B45" s="83"/>
    </row>
    <row r="46" spans="1:6" x14ac:dyDescent="0.2">
      <c r="A46" s="30"/>
      <c r="B46" s="30"/>
    </row>
    <row r="48" spans="1:6" ht="15.75" x14ac:dyDescent="0.2">
      <c r="A48" s="75" t="s">
        <v>99</v>
      </c>
      <c r="B48" s="75"/>
    </row>
    <row r="50" spans="1:2" ht="15.75" x14ac:dyDescent="0.2">
      <c r="A50" s="75" t="s">
        <v>100</v>
      </c>
      <c r="B50" s="75"/>
    </row>
  </sheetData>
  <mergeCells count="30">
    <mergeCell ref="B26:E26"/>
    <mergeCell ref="E8:F8"/>
    <mergeCell ref="E9:F9"/>
    <mergeCell ref="A13:F13"/>
    <mergeCell ref="A15:F15"/>
    <mergeCell ref="B16:F16"/>
    <mergeCell ref="B17:F17"/>
    <mergeCell ref="B18:F18"/>
    <mergeCell ref="A20:F20"/>
    <mergeCell ref="A22:B22"/>
    <mergeCell ref="B24:E24"/>
    <mergeCell ref="B25:E25"/>
    <mergeCell ref="B27:E27"/>
    <mergeCell ref="B28:E28"/>
    <mergeCell ref="B29:E29"/>
    <mergeCell ref="B30:E30"/>
    <mergeCell ref="B36:E36"/>
    <mergeCell ref="B31:E31"/>
    <mergeCell ref="B32:E32"/>
    <mergeCell ref="B33:E33"/>
    <mergeCell ref="B34:E34"/>
    <mergeCell ref="B35:E35"/>
    <mergeCell ref="A48:B48"/>
    <mergeCell ref="A50:B50"/>
    <mergeCell ref="B37:E37"/>
    <mergeCell ref="B38:E38"/>
    <mergeCell ref="B39:E39"/>
    <mergeCell ref="B40:E40"/>
    <mergeCell ref="A42:F42"/>
    <mergeCell ref="A45:B45"/>
  </mergeCells>
  <pageMargins left="0.74803149606299213" right="0.74803149606299213" top="0.86614173228346458" bottom="0.98425196850393704" header="0.51181102362204722" footer="0.51181102362204722"/>
  <pageSetup paperSize="9" scale="63" orientation="portrait" verticalDpi="300" r:id="rId1"/>
  <headerFooter>
    <oddFooter>&amp;L&amp;G&amp;R&amp;G</oddFooter>
  </headerFooter>
  <colBreaks count="1" manualBreakCount="1">
    <brk id="6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F126"/>
  <sheetViews>
    <sheetView view="pageBreakPreview" topLeftCell="A58" zoomScaleNormal="100" zoomScaleSheetLayoutView="100" workbookViewId="0">
      <selection activeCell="M62" sqref="M62"/>
    </sheetView>
  </sheetViews>
  <sheetFormatPr baseColWidth="10" defaultColWidth="9.140625" defaultRowHeight="14.25" x14ac:dyDescent="0.2"/>
  <cols>
    <col min="1" max="1" width="9.85546875" style="2" customWidth="1"/>
    <col min="2" max="2" width="70.140625" style="1" customWidth="1"/>
    <col min="3" max="3" width="12" style="2" customWidth="1"/>
    <col min="4" max="4" width="11.7109375" style="2" customWidth="1"/>
    <col min="5" max="5" width="15.5703125" style="2" customWidth="1"/>
    <col min="6" max="6" width="18" style="2" customWidth="1"/>
    <col min="7" max="16384" width="9.140625" style="1"/>
  </cols>
  <sheetData>
    <row r="2" spans="1:6" x14ac:dyDescent="0.2">
      <c r="A2" s="31"/>
      <c r="B2" s="31"/>
    </row>
    <row r="3" spans="1:6" x14ac:dyDescent="0.2">
      <c r="A3" s="31"/>
      <c r="B3" s="31"/>
    </row>
    <row r="4" spans="1:6" x14ac:dyDescent="0.2">
      <c r="A4" s="31"/>
      <c r="B4" s="31"/>
    </row>
    <row r="5" spans="1:6" x14ac:dyDescent="0.2">
      <c r="A5" s="31"/>
      <c r="B5" s="31"/>
    </row>
    <row r="6" spans="1:6" x14ac:dyDescent="0.2">
      <c r="A6" s="31"/>
      <c r="B6" s="31"/>
    </row>
    <row r="7" spans="1:6" x14ac:dyDescent="0.2">
      <c r="A7" s="31"/>
      <c r="B7" s="31"/>
    </row>
    <row r="8" spans="1:6" x14ac:dyDescent="0.2">
      <c r="A8" s="31"/>
      <c r="B8" s="31"/>
      <c r="C8" s="31"/>
      <c r="D8" s="32"/>
      <c r="E8" s="93"/>
      <c r="F8" s="93"/>
    </row>
    <row r="9" spans="1:6" x14ac:dyDescent="0.2">
      <c r="A9" s="31"/>
      <c r="B9" s="31"/>
      <c r="E9" s="94"/>
      <c r="F9" s="94"/>
    </row>
    <row r="12" spans="1:6" ht="15" thickBot="1" x14ac:dyDescent="0.25"/>
    <row r="13" spans="1:6" ht="34.5" customHeight="1" thickBot="1" x14ac:dyDescent="0.25">
      <c r="A13" s="95" t="s">
        <v>119</v>
      </c>
      <c r="B13" s="96"/>
      <c r="C13" s="96"/>
      <c r="D13" s="96"/>
      <c r="E13" s="96"/>
      <c r="F13" s="97"/>
    </row>
    <row r="14" spans="1:6" ht="20.100000000000001" customHeight="1" x14ac:dyDescent="0.2">
      <c r="A14" s="70"/>
      <c r="B14" s="70"/>
      <c r="C14" s="70"/>
      <c r="D14" s="70"/>
      <c r="E14" s="70"/>
      <c r="F14" s="70"/>
    </row>
    <row r="15" spans="1:6" ht="20.25" x14ac:dyDescent="0.2">
      <c r="A15" s="98" t="s">
        <v>53</v>
      </c>
      <c r="B15" s="98"/>
      <c r="C15" s="98"/>
      <c r="D15" s="98"/>
      <c r="E15" s="98"/>
      <c r="F15" s="98"/>
    </row>
    <row r="16" spans="1:6" ht="20.25" x14ac:dyDescent="0.2">
      <c r="A16" s="69"/>
      <c r="B16" s="99" t="s">
        <v>93</v>
      </c>
      <c r="C16" s="99"/>
      <c r="D16" s="99"/>
      <c r="E16" s="99"/>
      <c r="F16" s="99"/>
    </row>
    <row r="17" spans="1:6" ht="20.25" x14ac:dyDescent="0.2">
      <c r="A17" s="69"/>
      <c r="B17" s="99" t="s">
        <v>92</v>
      </c>
      <c r="C17" s="99"/>
      <c r="D17" s="99"/>
      <c r="E17" s="99"/>
      <c r="F17" s="99"/>
    </row>
    <row r="18" spans="1:6" ht="20.25" x14ac:dyDescent="0.2">
      <c r="A18" s="69"/>
      <c r="B18" s="99" t="s">
        <v>90</v>
      </c>
      <c r="C18" s="99"/>
      <c r="D18" s="99"/>
      <c r="E18" s="99"/>
      <c r="F18" s="99"/>
    </row>
    <row r="20" spans="1:6" ht="20.25" x14ac:dyDescent="0.2">
      <c r="A20" s="100" t="s">
        <v>102</v>
      </c>
      <c r="B20" s="99"/>
      <c r="C20" s="99"/>
      <c r="D20" s="99"/>
      <c r="E20" s="99"/>
      <c r="F20" s="99"/>
    </row>
    <row r="21" spans="1:6" ht="20.25" x14ac:dyDescent="0.2">
      <c r="A21" s="51"/>
      <c r="B21" s="6"/>
      <c r="C21" s="6"/>
      <c r="D21" s="6"/>
      <c r="E21" s="6"/>
      <c r="F21" s="6"/>
    </row>
    <row r="22" spans="1:6" ht="14.1" customHeight="1" x14ac:dyDescent="0.2">
      <c r="A22" s="101" t="s">
        <v>106</v>
      </c>
      <c r="B22" s="101"/>
      <c r="C22" s="6"/>
      <c r="D22" s="6"/>
      <c r="E22" s="6"/>
      <c r="F22" s="6"/>
    </row>
    <row r="24" spans="1:6" ht="15" x14ac:dyDescent="0.25">
      <c r="A24" s="52" t="s">
        <v>105</v>
      </c>
      <c r="B24" s="53" t="s">
        <v>104</v>
      </c>
      <c r="C24" s="33" t="s">
        <v>0</v>
      </c>
      <c r="D24" s="33" t="s">
        <v>1</v>
      </c>
      <c r="E24" s="33" t="s">
        <v>95</v>
      </c>
      <c r="F24" s="33" t="s">
        <v>2</v>
      </c>
    </row>
    <row r="25" spans="1:6" ht="15" x14ac:dyDescent="0.2">
      <c r="A25" s="34">
        <v>100</v>
      </c>
      <c r="B25" s="114" t="s">
        <v>10</v>
      </c>
      <c r="C25" s="115"/>
      <c r="D25" s="115"/>
      <c r="E25" s="115"/>
      <c r="F25" s="116"/>
    </row>
    <row r="26" spans="1:6" x14ac:dyDescent="0.2">
      <c r="A26" s="3">
        <v>101</v>
      </c>
      <c r="B26" s="44" t="s">
        <v>54</v>
      </c>
      <c r="C26" s="10">
        <v>1</v>
      </c>
      <c r="D26" s="10" t="s">
        <v>3</v>
      </c>
      <c r="E26" s="11">
        <v>150000000</v>
      </c>
      <c r="F26" s="11">
        <f>C26*E26</f>
        <v>150000000</v>
      </c>
    </row>
    <row r="27" spans="1:6" x14ac:dyDescent="0.2">
      <c r="A27" s="3">
        <v>103</v>
      </c>
      <c r="B27" s="47" t="s">
        <v>11</v>
      </c>
      <c r="C27" s="3">
        <v>1</v>
      </c>
      <c r="D27" s="3" t="s">
        <v>3</v>
      </c>
      <c r="E27" s="5">
        <v>7500000</v>
      </c>
      <c r="F27" s="5">
        <f t="shared" ref="F27:F28" si="0">C27*E27</f>
        <v>7500000</v>
      </c>
    </row>
    <row r="28" spans="1:6" x14ac:dyDescent="0.2">
      <c r="A28" s="7">
        <v>104</v>
      </c>
      <c r="B28" s="48" t="s">
        <v>37</v>
      </c>
      <c r="C28" s="7">
        <v>1</v>
      </c>
      <c r="D28" s="7" t="s">
        <v>3</v>
      </c>
      <c r="E28" s="8">
        <v>6500000</v>
      </c>
      <c r="F28" s="5">
        <f t="shared" si="0"/>
        <v>6500000</v>
      </c>
    </row>
    <row r="29" spans="1:6" ht="15" x14ac:dyDescent="0.2">
      <c r="A29" s="9"/>
      <c r="B29" s="19" t="s">
        <v>39</v>
      </c>
      <c r="C29" s="19"/>
      <c r="D29" s="19"/>
      <c r="E29" s="20"/>
      <c r="F29" s="20">
        <f>SUM(F26:F28)</f>
        <v>164000000</v>
      </c>
    </row>
    <row r="30" spans="1:6" ht="15" x14ac:dyDescent="0.2">
      <c r="A30" s="35">
        <v>200</v>
      </c>
      <c r="B30" s="114" t="s">
        <v>15</v>
      </c>
      <c r="C30" s="115"/>
      <c r="D30" s="115"/>
      <c r="E30" s="115"/>
      <c r="F30" s="116"/>
    </row>
    <row r="31" spans="1:6" x14ac:dyDescent="0.2">
      <c r="A31" s="3">
        <v>201</v>
      </c>
      <c r="B31" s="44" t="s">
        <v>55</v>
      </c>
      <c r="C31" s="21">
        <f>(75000+(1013*12))/10000</f>
        <v>8.7156000000000002</v>
      </c>
      <c r="D31" s="15" t="s">
        <v>57</v>
      </c>
      <c r="E31" s="16">
        <v>1750000</v>
      </c>
      <c r="F31" s="16">
        <f>C31*E31</f>
        <v>15252300</v>
      </c>
    </row>
    <row r="32" spans="1:6" x14ac:dyDescent="0.2">
      <c r="A32" s="3">
        <v>202</v>
      </c>
      <c r="B32" s="47" t="s">
        <v>56</v>
      </c>
      <c r="C32" s="13">
        <v>1</v>
      </c>
      <c r="D32" s="13" t="s">
        <v>38</v>
      </c>
      <c r="E32" s="14">
        <v>65000000</v>
      </c>
      <c r="F32" s="14">
        <f t="shared" ref="F32:F36" si="1">C32*E32</f>
        <v>65000000</v>
      </c>
    </row>
    <row r="33" spans="1:6" x14ac:dyDescent="0.2">
      <c r="A33" s="3">
        <v>203</v>
      </c>
      <c r="B33" s="47" t="s">
        <v>6</v>
      </c>
      <c r="C33" s="13">
        <v>1</v>
      </c>
      <c r="D33" s="13" t="s">
        <v>38</v>
      </c>
      <c r="E33" s="14">
        <v>32000000</v>
      </c>
      <c r="F33" s="14">
        <f t="shared" si="1"/>
        <v>32000000</v>
      </c>
    </row>
    <row r="34" spans="1:6" x14ac:dyDescent="0.2">
      <c r="A34" s="3">
        <v>204</v>
      </c>
      <c r="B34" s="47" t="s">
        <v>5</v>
      </c>
      <c r="C34" s="13">
        <v>1</v>
      </c>
      <c r="D34" s="13" t="s">
        <v>38</v>
      </c>
      <c r="E34" s="14">
        <v>32000000</v>
      </c>
      <c r="F34" s="14">
        <f t="shared" si="1"/>
        <v>32000000</v>
      </c>
    </row>
    <row r="35" spans="1:6" ht="14.25" customHeight="1" x14ac:dyDescent="0.2">
      <c r="A35" s="3">
        <v>205</v>
      </c>
      <c r="B35" s="47" t="s">
        <v>12</v>
      </c>
      <c r="C35" s="13">
        <v>1</v>
      </c>
      <c r="D35" s="13" t="s">
        <v>38</v>
      </c>
      <c r="E35" s="14">
        <v>47000000</v>
      </c>
      <c r="F35" s="14">
        <f t="shared" si="1"/>
        <v>47000000</v>
      </c>
    </row>
    <row r="36" spans="1:6" x14ac:dyDescent="0.2">
      <c r="A36" s="3">
        <v>206</v>
      </c>
      <c r="B36" s="47" t="s">
        <v>13</v>
      </c>
      <c r="C36" s="13">
        <v>1</v>
      </c>
      <c r="D36" s="13" t="s">
        <v>38</v>
      </c>
      <c r="E36" s="14">
        <v>6500000</v>
      </c>
      <c r="F36" s="14">
        <f t="shared" si="1"/>
        <v>6500000</v>
      </c>
    </row>
    <row r="37" spans="1:6" ht="15" x14ac:dyDescent="0.2">
      <c r="A37" s="9"/>
      <c r="B37" s="19" t="s">
        <v>40</v>
      </c>
      <c r="C37" s="19"/>
      <c r="D37" s="19"/>
      <c r="E37" s="20"/>
      <c r="F37" s="20">
        <f>SUM(F31:F36)</f>
        <v>197752300</v>
      </c>
    </row>
    <row r="38" spans="1:6" ht="16.5" customHeight="1" x14ac:dyDescent="0.2">
      <c r="A38" s="35">
        <v>300</v>
      </c>
      <c r="B38" s="114" t="s">
        <v>75</v>
      </c>
      <c r="C38" s="115"/>
      <c r="D38" s="115"/>
      <c r="E38" s="115"/>
      <c r="F38" s="116"/>
    </row>
    <row r="39" spans="1:6" ht="28.5" x14ac:dyDescent="0.2">
      <c r="A39" s="10">
        <v>301</v>
      </c>
      <c r="B39" s="44" t="s">
        <v>72</v>
      </c>
      <c r="C39" s="16">
        <v>40000</v>
      </c>
      <c r="D39" s="15" t="s">
        <v>9</v>
      </c>
      <c r="E39" s="16">
        <f>780+1850</f>
        <v>2630</v>
      </c>
      <c r="F39" s="16">
        <f>E39*C39</f>
        <v>105200000</v>
      </c>
    </row>
    <row r="40" spans="1:6" ht="28.5" x14ac:dyDescent="0.2">
      <c r="A40" s="10">
        <v>302</v>
      </c>
      <c r="B40" s="45" t="s">
        <v>73</v>
      </c>
      <c r="C40" s="16">
        <f>5*7*200*0.3</f>
        <v>2100</v>
      </c>
      <c r="D40" s="13" t="s">
        <v>89</v>
      </c>
      <c r="E40" s="16">
        <v>28080</v>
      </c>
      <c r="F40" s="16">
        <f t="shared" ref="F40:F41" si="2">E40*C40</f>
        <v>58968000</v>
      </c>
    </row>
    <row r="41" spans="1:6" ht="28.5" x14ac:dyDescent="0.2">
      <c r="A41" s="12">
        <v>302</v>
      </c>
      <c r="B41" s="46" t="s">
        <v>74</v>
      </c>
      <c r="C41" s="22">
        <v>1</v>
      </c>
      <c r="D41" s="17" t="s">
        <v>3</v>
      </c>
      <c r="E41" s="23">
        <v>7000000</v>
      </c>
      <c r="F41" s="16">
        <f t="shared" si="2"/>
        <v>7000000</v>
      </c>
    </row>
    <row r="42" spans="1:6" ht="15" x14ac:dyDescent="0.2">
      <c r="A42" s="9"/>
      <c r="B42" s="19" t="s">
        <v>41</v>
      </c>
      <c r="C42" s="19"/>
      <c r="D42" s="19"/>
      <c r="E42" s="20"/>
      <c r="F42" s="20">
        <f>SUM(F39:F41)</f>
        <v>171168000</v>
      </c>
    </row>
    <row r="43" spans="1:6" ht="15" x14ac:dyDescent="0.2">
      <c r="A43" s="35">
        <v>400</v>
      </c>
      <c r="B43" s="114" t="s">
        <v>14</v>
      </c>
      <c r="C43" s="115"/>
      <c r="D43" s="115"/>
      <c r="E43" s="115"/>
      <c r="F43" s="116"/>
    </row>
    <row r="44" spans="1:6" ht="28.5" x14ac:dyDescent="0.2">
      <c r="A44" s="3">
        <v>401</v>
      </c>
      <c r="B44" s="44" t="s">
        <v>16</v>
      </c>
      <c r="C44" s="16">
        <v>45000</v>
      </c>
      <c r="D44" s="15" t="s">
        <v>9</v>
      </c>
      <c r="E44" s="16">
        <f>780+1850</f>
        <v>2630</v>
      </c>
      <c r="F44" s="16">
        <f>C44*E44</f>
        <v>118350000</v>
      </c>
    </row>
    <row r="45" spans="1:6" ht="16.5" x14ac:dyDescent="0.2">
      <c r="A45" s="3">
        <v>402</v>
      </c>
      <c r="B45" s="47" t="s">
        <v>17</v>
      </c>
      <c r="C45" s="14">
        <f>523000*0.6</f>
        <v>313800</v>
      </c>
      <c r="D45" s="13" t="s">
        <v>89</v>
      </c>
      <c r="E45" s="14">
        <v>2150</v>
      </c>
      <c r="F45" s="14">
        <f t="shared" ref="F45:F55" si="3">C45*E45</f>
        <v>674670000</v>
      </c>
    </row>
    <row r="46" spans="1:6" ht="16.5" x14ac:dyDescent="0.2">
      <c r="A46" s="3">
        <v>403</v>
      </c>
      <c r="B46" s="47" t="s">
        <v>79</v>
      </c>
      <c r="C46" s="14">
        <f>55300*0.1</f>
        <v>5530</v>
      </c>
      <c r="D46" s="13" t="s">
        <v>89</v>
      </c>
      <c r="E46" s="14">
        <v>3600</v>
      </c>
      <c r="F46" s="14">
        <f t="shared" si="3"/>
        <v>19908000</v>
      </c>
    </row>
    <row r="47" spans="1:6" x14ac:dyDescent="0.2">
      <c r="A47" s="3">
        <v>404</v>
      </c>
      <c r="B47" s="47" t="s">
        <v>58</v>
      </c>
      <c r="C47" s="14">
        <f>8173+3607+1064</f>
        <v>12844</v>
      </c>
      <c r="D47" s="13" t="s">
        <v>9</v>
      </c>
      <c r="E47" s="14">
        <v>2195</v>
      </c>
      <c r="F47" s="14">
        <f t="shared" si="3"/>
        <v>28192580</v>
      </c>
    </row>
    <row r="48" spans="1:6" ht="28.5" x14ac:dyDescent="0.2">
      <c r="A48" s="3">
        <v>405</v>
      </c>
      <c r="B48" s="47" t="s">
        <v>59</v>
      </c>
      <c r="C48" s="14">
        <f>(8173+3607+1064)</f>
        <v>12844</v>
      </c>
      <c r="D48" s="13" t="s">
        <v>89</v>
      </c>
      <c r="E48" s="14">
        <v>14733</v>
      </c>
      <c r="F48" s="14">
        <f t="shared" si="3"/>
        <v>189230652</v>
      </c>
    </row>
    <row r="49" spans="1:6" x14ac:dyDescent="0.2">
      <c r="A49" s="3">
        <v>406</v>
      </c>
      <c r="B49" s="47" t="s">
        <v>84</v>
      </c>
      <c r="C49" s="14">
        <f>(8173+3607+1064+20304)*1.2</f>
        <v>39777.599999999999</v>
      </c>
      <c r="D49" s="13" t="s">
        <v>9</v>
      </c>
      <c r="E49" s="14">
        <f>((4*656)*1.4)+2000</f>
        <v>5673.6</v>
      </c>
      <c r="F49" s="14">
        <f>C49*E49</f>
        <v>225682191.36000001</v>
      </c>
    </row>
    <row r="50" spans="1:6" x14ac:dyDescent="0.2">
      <c r="A50" s="3">
        <v>407</v>
      </c>
      <c r="B50" s="47" t="s">
        <v>85</v>
      </c>
      <c r="C50" s="14">
        <f>C49</f>
        <v>39777.599999999999</v>
      </c>
      <c r="D50" s="13" t="s">
        <v>9</v>
      </c>
      <c r="E50" s="14">
        <f>((4.5*656)*1.4)+2000</f>
        <v>6132.8</v>
      </c>
      <c r="F50" s="14">
        <f>C50*E50</f>
        <v>243948065.28</v>
      </c>
    </row>
    <row r="51" spans="1:6" x14ac:dyDescent="0.2">
      <c r="A51" s="3">
        <v>408</v>
      </c>
      <c r="B51" s="47" t="s">
        <v>86</v>
      </c>
      <c r="C51" s="14">
        <f>C50</f>
        <v>39777.599999999999</v>
      </c>
      <c r="D51" s="13" t="s">
        <v>9</v>
      </c>
      <c r="E51" s="14">
        <v>1980</v>
      </c>
      <c r="F51" s="14">
        <f>+E51*C51</f>
        <v>78759648</v>
      </c>
    </row>
    <row r="52" spans="1:6" x14ac:dyDescent="0.2">
      <c r="A52" s="3">
        <v>409</v>
      </c>
      <c r="B52" s="47" t="s">
        <v>60</v>
      </c>
      <c r="C52" s="14">
        <v>635</v>
      </c>
      <c r="D52" s="13" t="s">
        <v>4</v>
      </c>
      <c r="E52" s="14">
        <v>85000</v>
      </c>
      <c r="F52" s="14">
        <f t="shared" si="3"/>
        <v>53975000</v>
      </c>
    </row>
    <row r="53" spans="1:6" x14ac:dyDescent="0.2">
      <c r="A53" s="3">
        <v>410</v>
      </c>
      <c r="B53" s="47" t="s">
        <v>18</v>
      </c>
      <c r="C53" s="14">
        <v>3</v>
      </c>
      <c r="D53" s="13" t="s">
        <v>38</v>
      </c>
      <c r="E53" s="14">
        <v>4500000</v>
      </c>
      <c r="F53" s="14">
        <f t="shared" si="3"/>
        <v>13500000</v>
      </c>
    </row>
    <row r="54" spans="1:6" x14ac:dyDescent="0.2">
      <c r="A54" s="3">
        <v>411</v>
      </c>
      <c r="B54" s="47" t="s">
        <v>87</v>
      </c>
      <c r="C54" s="14">
        <v>3</v>
      </c>
      <c r="D54" s="13" t="s">
        <v>38</v>
      </c>
      <c r="E54" s="14">
        <v>7500000</v>
      </c>
      <c r="F54" s="14">
        <f t="shared" si="3"/>
        <v>22500000</v>
      </c>
    </row>
    <row r="55" spans="1:6" ht="15" customHeight="1" x14ac:dyDescent="0.2">
      <c r="A55" s="3">
        <v>412</v>
      </c>
      <c r="B55" s="47" t="s">
        <v>76</v>
      </c>
      <c r="C55" s="14">
        <f>(8173+3607+1064)*0.3</f>
        <v>3853.2</v>
      </c>
      <c r="D55" s="13" t="s">
        <v>89</v>
      </c>
      <c r="E55" s="14">
        <v>20000</v>
      </c>
      <c r="F55" s="14">
        <f t="shared" si="3"/>
        <v>77064000</v>
      </c>
    </row>
    <row r="56" spans="1:6" ht="15" x14ac:dyDescent="0.2">
      <c r="A56" s="9"/>
      <c r="B56" s="24" t="s">
        <v>42</v>
      </c>
      <c r="C56" s="24"/>
      <c r="D56" s="24"/>
      <c r="E56" s="25"/>
      <c r="F56" s="25">
        <f>SUM(F44:F55)</f>
        <v>1745780136.6400001</v>
      </c>
    </row>
    <row r="57" spans="1:6" ht="15" x14ac:dyDescent="0.2">
      <c r="A57" s="36">
        <v>500</v>
      </c>
      <c r="B57" s="114" t="s">
        <v>19</v>
      </c>
      <c r="C57" s="115"/>
      <c r="D57" s="115"/>
      <c r="E57" s="115"/>
      <c r="F57" s="116"/>
    </row>
    <row r="58" spans="1:6" ht="28.5" x14ac:dyDescent="0.2">
      <c r="A58" s="3">
        <v>501</v>
      </c>
      <c r="B58" s="47" t="s">
        <v>16</v>
      </c>
      <c r="C58" s="14">
        <v>15000</v>
      </c>
      <c r="D58" s="13" t="s">
        <v>9</v>
      </c>
      <c r="E58" s="14">
        <f>780+1850</f>
        <v>2630</v>
      </c>
      <c r="F58" s="14">
        <f>C58*E58</f>
        <v>39450000</v>
      </c>
    </row>
    <row r="59" spans="1:6" ht="16.5" x14ac:dyDescent="0.2">
      <c r="A59" s="3">
        <v>502</v>
      </c>
      <c r="B59" s="47" t="s">
        <v>17</v>
      </c>
      <c r="C59" s="14">
        <f>523000*0.25</f>
        <v>130750</v>
      </c>
      <c r="D59" s="13" t="s">
        <v>89</v>
      </c>
      <c r="E59" s="14">
        <v>2150</v>
      </c>
      <c r="F59" s="14">
        <f t="shared" ref="F59:F65" si="4">C59*E59</f>
        <v>281112500</v>
      </c>
    </row>
    <row r="60" spans="1:6" ht="16.5" x14ac:dyDescent="0.2">
      <c r="A60" s="3">
        <v>503</v>
      </c>
      <c r="B60" s="47" t="s">
        <v>78</v>
      </c>
      <c r="C60" s="14">
        <f>55300*0.4</f>
        <v>22120</v>
      </c>
      <c r="D60" s="13" t="s">
        <v>89</v>
      </c>
      <c r="E60" s="14">
        <v>3600</v>
      </c>
      <c r="F60" s="14">
        <f t="shared" si="4"/>
        <v>79632000</v>
      </c>
    </row>
    <row r="61" spans="1:6" x14ac:dyDescent="0.2">
      <c r="A61" s="3">
        <v>504</v>
      </c>
      <c r="B61" s="47" t="s">
        <v>61</v>
      </c>
      <c r="C61" s="14">
        <v>2669</v>
      </c>
      <c r="D61" s="13" t="s">
        <v>9</v>
      </c>
      <c r="E61" s="14">
        <v>2195</v>
      </c>
      <c r="F61" s="14">
        <f t="shared" si="4"/>
        <v>5858455</v>
      </c>
    </row>
    <row r="62" spans="1:6" ht="28.5" x14ac:dyDescent="0.2">
      <c r="A62" s="3">
        <v>505</v>
      </c>
      <c r="B62" s="47" t="s">
        <v>59</v>
      </c>
      <c r="C62" s="14">
        <f>C61*1</f>
        <v>2669</v>
      </c>
      <c r="D62" s="13" t="s">
        <v>89</v>
      </c>
      <c r="E62" s="14">
        <v>14733</v>
      </c>
      <c r="F62" s="14">
        <f t="shared" si="4"/>
        <v>39322377</v>
      </c>
    </row>
    <row r="63" spans="1:6" x14ac:dyDescent="0.2">
      <c r="A63" s="3">
        <v>506</v>
      </c>
      <c r="B63" s="47" t="s">
        <v>84</v>
      </c>
      <c r="C63" s="14">
        <f>(2669+1946)*1.2</f>
        <v>5538</v>
      </c>
      <c r="D63" s="13" t="s">
        <v>9</v>
      </c>
      <c r="E63" s="14">
        <f>((4*656)*1.4)+2000</f>
        <v>5673.6</v>
      </c>
      <c r="F63" s="14">
        <f t="shared" si="4"/>
        <v>31420396.800000001</v>
      </c>
    </row>
    <row r="64" spans="1:6" x14ac:dyDescent="0.2">
      <c r="A64" s="3">
        <v>507</v>
      </c>
      <c r="B64" s="47" t="s">
        <v>85</v>
      </c>
      <c r="C64" s="14">
        <f>C63</f>
        <v>5538</v>
      </c>
      <c r="D64" s="13" t="s">
        <v>9</v>
      </c>
      <c r="E64" s="14">
        <f>((4.5*656)*1.4)+2000</f>
        <v>6132.8</v>
      </c>
      <c r="F64" s="14">
        <f t="shared" si="4"/>
        <v>33963446.399999999</v>
      </c>
    </row>
    <row r="65" spans="1:6" x14ac:dyDescent="0.2">
      <c r="A65" s="3">
        <v>508</v>
      </c>
      <c r="B65" s="47" t="s">
        <v>86</v>
      </c>
      <c r="C65" s="14">
        <f>C64</f>
        <v>5538</v>
      </c>
      <c r="D65" s="13" t="s">
        <v>9</v>
      </c>
      <c r="E65" s="14">
        <v>1980</v>
      </c>
      <c r="F65" s="14">
        <f t="shared" si="4"/>
        <v>10965240</v>
      </c>
    </row>
    <row r="66" spans="1:6" ht="15" x14ac:dyDescent="0.2">
      <c r="A66" s="9"/>
      <c r="B66" s="24" t="s">
        <v>43</v>
      </c>
      <c r="C66" s="24"/>
      <c r="D66" s="24"/>
      <c r="E66" s="25"/>
      <c r="F66" s="25">
        <f>SUM(F58:F65)</f>
        <v>521724415.19999999</v>
      </c>
    </row>
    <row r="67" spans="1:6" ht="15" x14ac:dyDescent="0.2">
      <c r="A67" s="36">
        <v>600</v>
      </c>
      <c r="B67" s="114" t="s">
        <v>8</v>
      </c>
      <c r="C67" s="115"/>
      <c r="D67" s="115"/>
      <c r="E67" s="115"/>
      <c r="F67" s="116"/>
    </row>
    <row r="68" spans="1:6" ht="28.5" x14ac:dyDescent="0.2">
      <c r="A68" s="3">
        <v>601</v>
      </c>
      <c r="B68" s="47" t="s">
        <v>16</v>
      </c>
      <c r="C68" s="14">
        <v>15000</v>
      </c>
      <c r="D68" s="13" t="s">
        <v>9</v>
      </c>
      <c r="E68" s="14">
        <f>780+1850</f>
        <v>2630</v>
      </c>
      <c r="F68" s="14">
        <f>C68*E68</f>
        <v>39450000</v>
      </c>
    </row>
    <row r="69" spans="1:6" ht="16.5" x14ac:dyDescent="0.2">
      <c r="A69" s="3">
        <v>602</v>
      </c>
      <c r="B69" s="47" t="s">
        <v>17</v>
      </c>
      <c r="C69" s="14">
        <f>523000*0.15</f>
        <v>78450</v>
      </c>
      <c r="D69" s="13" t="s">
        <v>89</v>
      </c>
      <c r="E69" s="14">
        <v>2150</v>
      </c>
      <c r="F69" s="14">
        <f t="shared" ref="F69:F71" si="5">C69*E69</f>
        <v>168667500</v>
      </c>
    </row>
    <row r="70" spans="1:6" ht="16.5" x14ac:dyDescent="0.2">
      <c r="A70" s="3">
        <v>603</v>
      </c>
      <c r="B70" s="47" t="s">
        <v>77</v>
      </c>
      <c r="C70" s="14">
        <f>55300*0.5</f>
        <v>27650</v>
      </c>
      <c r="D70" s="13" t="s">
        <v>89</v>
      </c>
      <c r="E70" s="14">
        <v>3600</v>
      </c>
      <c r="F70" s="14">
        <f t="shared" si="5"/>
        <v>99540000</v>
      </c>
    </row>
    <row r="71" spans="1:6" x14ac:dyDescent="0.2">
      <c r="A71" s="3">
        <v>604</v>
      </c>
      <c r="B71" s="48" t="s">
        <v>20</v>
      </c>
      <c r="C71" s="18">
        <v>8681</v>
      </c>
      <c r="D71" s="17" t="s">
        <v>9</v>
      </c>
      <c r="E71" s="18">
        <v>2195</v>
      </c>
      <c r="F71" s="14">
        <f t="shared" si="5"/>
        <v>19054795</v>
      </c>
    </row>
    <row r="72" spans="1:6" ht="15" x14ac:dyDescent="0.2">
      <c r="A72" s="9"/>
      <c r="B72" s="24" t="s">
        <v>44</v>
      </c>
      <c r="C72" s="26"/>
      <c r="D72" s="24"/>
      <c r="E72" s="25"/>
      <c r="F72" s="25">
        <f>SUM(F68:F71)</f>
        <v>326712295</v>
      </c>
    </row>
    <row r="73" spans="1:6" ht="15" x14ac:dyDescent="0.2">
      <c r="A73" s="36">
        <v>700</v>
      </c>
      <c r="B73" s="114" t="s">
        <v>88</v>
      </c>
      <c r="C73" s="115"/>
      <c r="D73" s="115"/>
      <c r="E73" s="115"/>
      <c r="F73" s="116"/>
    </row>
    <row r="74" spans="1:6" ht="28.5" x14ac:dyDescent="0.2">
      <c r="A74" s="3">
        <v>702</v>
      </c>
      <c r="B74" s="47" t="s">
        <v>62</v>
      </c>
      <c r="C74" s="13">
        <v>50</v>
      </c>
      <c r="D74" s="13" t="s">
        <v>4</v>
      </c>
      <c r="E74" s="14">
        <f>(5000000000/4000/1.19)*11/12</f>
        <v>962885.15406162466</v>
      </c>
      <c r="F74" s="14">
        <f t="shared" ref="F74:F77" si="6">C74*E74</f>
        <v>48144257.703081235</v>
      </c>
    </row>
    <row r="75" spans="1:6" ht="28.5" x14ac:dyDescent="0.2">
      <c r="A75" s="3">
        <v>703</v>
      </c>
      <c r="B75" s="47" t="s">
        <v>66</v>
      </c>
      <c r="C75" s="13">
        <v>1070</v>
      </c>
      <c r="D75" s="13" t="s">
        <v>4</v>
      </c>
      <c r="E75" s="14">
        <v>28080</v>
      </c>
      <c r="F75" s="14">
        <f t="shared" si="6"/>
        <v>30045600</v>
      </c>
    </row>
    <row r="76" spans="1:6" ht="28.5" x14ac:dyDescent="0.2">
      <c r="A76" s="3">
        <v>704</v>
      </c>
      <c r="B76" s="47" t="s">
        <v>80</v>
      </c>
      <c r="C76" s="13">
        <f>3168*0.2</f>
        <v>633.6</v>
      </c>
      <c r="D76" s="13" t="s">
        <v>89</v>
      </c>
      <c r="E76" s="14">
        <v>347400</v>
      </c>
      <c r="F76" s="14">
        <f t="shared" si="6"/>
        <v>220112640</v>
      </c>
    </row>
    <row r="77" spans="1:6" ht="28.5" x14ac:dyDescent="0.2">
      <c r="A77" s="3">
        <v>705</v>
      </c>
      <c r="B77" s="48" t="s">
        <v>81</v>
      </c>
      <c r="C77" s="17">
        <v>1842</v>
      </c>
      <c r="D77" s="17" t="s">
        <v>4</v>
      </c>
      <c r="E77" s="18">
        <f>110000+27000</f>
        <v>137000</v>
      </c>
      <c r="F77" s="14">
        <f t="shared" si="6"/>
        <v>252354000</v>
      </c>
    </row>
    <row r="78" spans="1:6" ht="15" x14ac:dyDescent="0.2">
      <c r="A78" s="9"/>
      <c r="B78" s="24" t="s">
        <v>45</v>
      </c>
      <c r="C78" s="24"/>
      <c r="D78" s="24"/>
      <c r="E78" s="25"/>
      <c r="F78" s="25">
        <f>SUM(F74:F77)</f>
        <v>550656497.70308125</v>
      </c>
    </row>
    <row r="79" spans="1:6" ht="15" x14ac:dyDescent="0.2">
      <c r="A79" s="36">
        <v>800</v>
      </c>
      <c r="B79" s="114" t="s">
        <v>21</v>
      </c>
      <c r="C79" s="115"/>
      <c r="D79" s="115"/>
      <c r="E79" s="115"/>
      <c r="F79" s="116"/>
    </row>
    <row r="80" spans="1:6" x14ac:dyDescent="0.2">
      <c r="A80" s="3">
        <v>801</v>
      </c>
      <c r="B80" s="47" t="s">
        <v>83</v>
      </c>
      <c r="C80" s="13">
        <v>1050</v>
      </c>
      <c r="D80" s="13" t="s">
        <v>4</v>
      </c>
      <c r="E80" s="14">
        <v>45000</v>
      </c>
      <c r="F80" s="14">
        <f>C80*E80</f>
        <v>47250000</v>
      </c>
    </row>
    <row r="81" spans="1:6" x14ac:dyDescent="0.2">
      <c r="A81" s="3">
        <v>802</v>
      </c>
      <c r="B81" s="47" t="s">
        <v>65</v>
      </c>
      <c r="C81" s="13">
        <v>1</v>
      </c>
      <c r="D81" s="13" t="s">
        <v>38</v>
      </c>
      <c r="E81" s="14">
        <v>2000000</v>
      </c>
      <c r="F81" s="14">
        <f t="shared" ref="F81:F88" si="7">C81*E81</f>
        <v>2000000</v>
      </c>
    </row>
    <row r="82" spans="1:6" x14ac:dyDescent="0.2">
      <c r="A82" s="3">
        <v>803</v>
      </c>
      <c r="B82" s="47" t="s">
        <v>22</v>
      </c>
      <c r="C82" s="13">
        <v>1</v>
      </c>
      <c r="D82" s="13" t="s">
        <v>38</v>
      </c>
      <c r="E82" s="14">
        <v>7500000</v>
      </c>
      <c r="F82" s="14">
        <f t="shared" si="7"/>
        <v>7500000</v>
      </c>
    </row>
    <row r="83" spans="1:6" ht="27" x14ac:dyDescent="0.2">
      <c r="A83" s="3">
        <v>804</v>
      </c>
      <c r="B83" s="47" t="s">
        <v>64</v>
      </c>
      <c r="C83" s="13">
        <f>18+6+18</f>
        <v>42</v>
      </c>
      <c r="D83" s="13" t="s">
        <v>9</v>
      </c>
      <c r="E83" s="14">
        <v>550000</v>
      </c>
      <c r="F83" s="14">
        <f t="shared" si="7"/>
        <v>23100000</v>
      </c>
    </row>
    <row r="84" spans="1:6" x14ac:dyDescent="0.2">
      <c r="A84" s="3"/>
      <c r="B84" s="47" t="s">
        <v>91</v>
      </c>
      <c r="C84" s="13">
        <f>15*20</f>
        <v>300</v>
      </c>
      <c r="D84" s="13" t="s">
        <v>9</v>
      </c>
      <c r="E84" s="14">
        <v>345000</v>
      </c>
      <c r="F84" s="14">
        <f t="shared" si="7"/>
        <v>103500000</v>
      </c>
    </row>
    <row r="85" spans="1:6" x14ac:dyDescent="0.2">
      <c r="A85" s="3">
        <v>805</v>
      </c>
      <c r="B85" s="47" t="s">
        <v>23</v>
      </c>
      <c r="C85" s="13">
        <f>(18*3*0.4)+(2*4*3*0.25)+5</f>
        <v>32.6</v>
      </c>
      <c r="D85" s="13" t="s">
        <v>38</v>
      </c>
      <c r="E85" s="14">
        <v>450000</v>
      </c>
      <c r="F85" s="14">
        <f t="shared" si="7"/>
        <v>14670000</v>
      </c>
    </row>
    <row r="86" spans="1:6" x14ac:dyDescent="0.2">
      <c r="A86" s="3">
        <v>806</v>
      </c>
      <c r="B86" s="47" t="s">
        <v>25</v>
      </c>
      <c r="C86" s="13">
        <v>1</v>
      </c>
      <c r="D86" s="13" t="s">
        <v>3</v>
      </c>
      <c r="E86" s="14">
        <v>4700000</v>
      </c>
      <c r="F86" s="14">
        <f t="shared" si="7"/>
        <v>4700000</v>
      </c>
    </row>
    <row r="87" spans="1:6" x14ac:dyDescent="0.2">
      <c r="A87" s="3">
        <v>807</v>
      </c>
      <c r="B87" s="47" t="s">
        <v>67</v>
      </c>
      <c r="C87" s="13">
        <v>1</v>
      </c>
      <c r="D87" s="13" t="s">
        <v>3</v>
      </c>
      <c r="E87" s="14">
        <v>4850000</v>
      </c>
      <c r="F87" s="14">
        <f t="shared" si="7"/>
        <v>4850000</v>
      </c>
    </row>
    <row r="88" spans="1:6" x14ac:dyDescent="0.2">
      <c r="A88" s="3">
        <v>808</v>
      </c>
      <c r="B88" s="48" t="s">
        <v>24</v>
      </c>
      <c r="C88" s="17">
        <v>1</v>
      </c>
      <c r="D88" s="17" t="s">
        <v>3</v>
      </c>
      <c r="E88" s="18">
        <v>12000000</v>
      </c>
      <c r="F88" s="14">
        <f t="shared" si="7"/>
        <v>12000000</v>
      </c>
    </row>
    <row r="89" spans="1:6" ht="15" x14ac:dyDescent="0.2">
      <c r="A89" s="9"/>
      <c r="B89" s="24" t="s">
        <v>46</v>
      </c>
      <c r="C89" s="24"/>
      <c r="D89" s="24"/>
      <c r="E89" s="25"/>
      <c r="F89" s="25">
        <f>SUM(F80:F88)</f>
        <v>219570000</v>
      </c>
    </row>
    <row r="90" spans="1:6" ht="15" x14ac:dyDescent="0.2">
      <c r="A90" s="36">
        <v>900</v>
      </c>
      <c r="B90" s="114" t="s">
        <v>26</v>
      </c>
      <c r="C90" s="115"/>
      <c r="D90" s="115"/>
      <c r="E90" s="115"/>
      <c r="F90" s="116"/>
    </row>
    <row r="91" spans="1:6" x14ac:dyDescent="0.2">
      <c r="A91" s="3">
        <v>901</v>
      </c>
      <c r="B91" s="47" t="s">
        <v>63</v>
      </c>
      <c r="C91" s="13">
        <v>1</v>
      </c>
      <c r="D91" s="13" t="s">
        <v>38</v>
      </c>
      <c r="E91" s="14">
        <v>7000000</v>
      </c>
      <c r="F91" s="14">
        <f>C91*E91</f>
        <v>7000000</v>
      </c>
    </row>
    <row r="92" spans="1:6" ht="28.5" x14ac:dyDescent="0.2">
      <c r="A92" s="3">
        <v>902</v>
      </c>
      <c r="B92" s="47" t="s">
        <v>27</v>
      </c>
      <c r="C92" s="13">
        <v>105</v>
      </c>
      <c r="D92" s="13" t="s">
        <v>4</v>
      </c>
      <c r="E92" s="14">
        <v>225000</v>
      </c>
      <c r="F92" s="14">
        <f t="shared" ref="F92:F93" si="8">C92*E92</f>
        <v>23625000</v>
      </c>
    </row>
    <row r="93" spans="1:6" x14ac:dyDescent="0.2">
      <c r="A93" s="3">
        <v>903</v>
      </c>
      <c r="B93" s="48" t="s">
        <v>28</v>
      </c>
      <c r="C93" s="17">
        <v>5</v>
      </c>
      <c r="D93" s="17" t="s">
        <v>38</v>
      </c>
      <c r="E93" s="18">
        <v>350000</v>
      </c>
      <c r="F93" s="14">
        <f t="shared" si="8"/>
        <v>1750000</v>
      </c>
    </row>
    <row r="94" spans="1:6" ht="15" x14ac:dyDescent="0.2">
      <c r="A94" s="9"/>
      <c r="B94" s="24" t="s">
        <v>47</v>
      </c>
      <c r="C94" s="24"/>
      <c r="D94" s="24"/>
      <c r="E94" s="25"/>
      <c r="F94" s="25">
        <f>SUM(F91:F93)</f>
        <v>32375000</v>
      </c>
    </row>
    <row r="95" spans="1:6" ht="15" x14ac:dyDescent="0.2">
      <c r="A95" s="36">
        <v>1000</v>
      </c>
      <c r="B95" s="114" t="s">
        <v>30</v>
      </c>
      <c r="C95" s="115"/>
      <c r="D95" s="115"/>
      <c r="E95" s="115"/>
      <c r="F95" s="116"/>
    </row>
    <row r="96" spans="1:6" ht="28.5" x14ac:dyDescent="0.2">
      <c r="A96" s="3">
        <v>1001</v>
      </c>
      <c r="B96" s="47" t="s">
        <v>68</v>
      </c>
      <c r="C96" s="13">
        <v>1013</v>
      </c>
      <c r="D96" s="13" t="s">
        <v>4</v>
      </c>
      <c r="E96" s="14">
        <v>0</v>
      </c>
      <c r="F96" s="14">
        <f>E96*C96</f>
        <v>0</v>
      </c>
    </row>
    <row r="97" spans="1:6" x14ac:dyDescent="0.2">
      <c r="A97" s="3">
        <v>1002</v>
      </c>
      <c r="B97" s="47" t="s">
        <v>29</v>
      </c>
      <c r="C97" s="13">
        <v>1</v>
      </c>
      <c r="D97" s="13" t="s">
        <v>3</v>
      </c>
      <c r="E97" s="18">
        <v>8000000</v>
      </c>
      <c r="F97" s="14">
        <f t="shared" ref="F97:F98" si="9">C97*E97</f>
        <v>8000000</v>
      </c>
    </row>
    <row r="98" spans="1:6" ht="28.5" x14ac:dyDescent="0.2">
      <c r="A98" s="3">
        <v>1003</v>
      </c>
      <c r="B98" s="48" t="s">
        <v>82</v>
      </c>
      <c r="C98" s="18">
        <f>C80/20</f>
        <v>52.5</v>
      </c>
      <c r="D98" s="17" t="s">
        <v>38</v>
      </c>
      <c r="E98" s="18">
        <v>448000</v>
      </c>
      <c r="F98" s="14">
        <f t="shared" si="9"/>
        <v>23520000</v>
      </c>
    </row>
    <row r="99" spans="1:6" ht="15" x14ac:dyDescent="0.2">
      <c r="A99" s="9"/>
      <c r="B99" s="24" t="s">
        <v>48</v>
      </c>
      <c r="C99" s="24"/>
      <c r="D99" s="24"/>
      <c r="E99" s="25"/>
      <c r="F99" s="25">
        <f>SUM(F96:F98)</f>
        <v>31520000</v>
      </c>
    </row>
    <row r="100" spans="1:6" ht="15" x14ac:dyDescent="0.2">
      <c r="A100" s="36">
        <v>1100</v>
      </c>
      <c r="B100" s="114" t="s">
        <v>31</v>
      </c>
      <c r="C100" s="115"/>
      <c r="D100" s="115"/>
      <c r="E100" s="115"/>
      <c r="F100" s="116"/>
    </row>
    <row r="101" spans="1:6" x14ac:dyDescent="0.2">
      <c r="A101" s="3">
        <v>1101</v>
      </c>
      <c r="B101" s="49" t="s">
        <v>69</v>
      </c>
      <c r="C101" s="13">
        <v>1</v>
      </c>
      <c r="D101" s="13" t="s">
        <v>3</v>
      </c>
      <c r="E101" s="14">
        <v>11500000</v>
      </c>
      <c r="F101" s="14">
        <f>C101*E101</f>
        <v>11500000</v>
      </c>
    </row>
    <row r="102" spans="1:6" ht="28.5" x14ac:dyDescent="0.2">
      <c r="A102" s="3">
        <v>1102</v>
      </c>
      <c r="B102" s="47" t="s">
        <v>70</v>
      </c>
      <c r="C102" s="13">
        <v>1</v>
      </c>
      <c r="D102" s="13" t="s">
        <v>3</v>
      </c>
      <c r="E102" s="14">
        <f>6*4500000</f>
        <v>27000000</v>
      </c>
      <c r="F102" s="14">
        <f t="shared" ref="F102:F105" si="10">C102*E102</f>
        <v>27000000</v>
      </c>
    </row>
    <row r="103" spans="1:6" x14ac:dyDescent="0.2">
      <c r="A103" s="3">
        <v>1103</v>
      </c>
      <c r="B103" s="47" t="s">
        <v>32</v>
      </c>
      <c r="C103" s="13">
        <v>1</v>
      </c>
      <c r="D103" s="13" t="s">
        <v>3</v>
      </c>
      <c r="E103" s="14">
        <v>17000000</v>
      </c>
      <c r="F103" s="14">
        <f t="shared" si="10"/>
        <v>17000000</v>
      </c>
    </row>
    <row r="104" spans="1:6" x14ac:dyDescent="0.2">
      <c r="A104" s="3">
        <v>1104</v>
      </c>
      <c r="B104" s="48" t="s">
        <v>34</v>
      </c>
      <c r="C104" s="17">
        <v>12</v>
      </c>
      <c r="D104" s="17" t="s">
        <v>7</v>
      </c>
      <c r="E104" s="18">
        <v>8000000</v>
      </c>
      <c r="F104" s="14">
        <f t="shared" si="10"/>
        <v>96000000</v>
      </c>
    </row>
    <row r="105" spans="1:6" x14ac:dyDescent="0.2">
      <c r="A105" s="3">
        <v>1105</v>
      </c>
      <c r="B105" s="47" t="s">
        <v>33</v>
      </c>
      <c r="C105" s="13">
        <v>1</v>
      </c>
      <c r="D105" s="13" t="s">
        <v>3</v>
      </c>
      <c r="E105" s="14">
        <v>7400000</v>
      </c>
      <c r="F105" s="14">
        <f t="shared" si="10"/>
        <v>7400000</v>
      </c>
    </row>
    <row r="106" spans="1:6" ht="15" x14ac:dyDescent="0.2">
      <c r="A106" s="9"/>
      <c r="B106" s="24" t="s">
        <v>49</v>
      </c>
      <c r="C106" s="24"/>
      <c r="D106" s="24"/>
      <c r="E106" s="25"/>
      <c r="F106" s="25">
        <f>SUM(F101:F105)</f>
        <v>158900000</v>
      </c>
    </row>
    <row r="107" spans="1:6" ht="15" x14ac:dyDescent="0.2">
      <c r="A107" s="36">
        <v>1200</v>
      </c>
      <c r="B107" s="114" t="s">
        <v>35</v>
      </c>
      <c r="C107" s="115"/>
      <c r="D107" s="115"/>
      <c r="E107" s="115"/>
      <c r="F107" s="116"/>
    </row>
    <row r="108" spans="1:6" x14ac:dyDescent="0.2">
      <c r="A108" s="3">
        <v>1201</v>
      </c>
      <c r="B108" s="47" t="s">
        <v>36</v>
      </c>
      <c r="C108" s="13">
        <v>12</v>
      </c>
      <c r="D108" s="3" t="s">
        <v>7</v>
      </c>
      <c r="E108" s="5">
        <f>+(27000000/12)+500000+150000+200000</f>
        <v>3100000</v>
      </c>
      <c r="F108" s="5">
        <f>C108*E108</f>
        <v>37200000</v>
      </c>
    </row>
    <row r="109" spans="1:6" x14ac:dyDescent="0.2">
      <c r="A109" s="7">
        <v>1202</v>
      </c>
      <c r="B109" s="48" t="s">
        <v>71</v>
      </c>
      <c r="C109" s="7"/>
      <c r="D109" s="7"/>
      <c r="E109" s="8"/>
      <c r="F109" s="5">
        <f>SUM(F29,F37,F42,F56,F66,F72,F78,F89,F94,F99,F106)*0.1</f>
        <v>412015864.45430815</v>
      </c>
    </row>
    <row r="110" spans="1:6" ht="15" x14ac:dyDescent="0.2">
      <c r="A110" s="9"/>
      <c r="B110" s="24" t="s">
        <v>50</v>
      </c>
      <c r="C110" s="24"/>
      <c r="D110" s="24"/>
      <c r="E110" s="27"/>
      <c r="F110" s="25">
        <f>+SUM(F108:F109)</f>
        <v>449215864.45430815</v>
      </c>
    </row>
    <row r="111" spans="1:6" ht="15" thickBot="1" x14ac:dyDescent="0.25"/>
    <row r="112" spans="1:6" ht="15.75" x14ac:dyDescent="0.2">
      <c r="B112" s="107" t="s">
        <v>96</v>
      </c>
      <c r="C112" s="108"/>
      <c r="D112" s="108"/>
      <c r="E112" s="108"/>
      <c r="F112" s="71">
        <f>SUM(F29,F37,F42,F56,F66,F72,F78,F89,F94,F99,F106,F110)</f>
        <v>4569374508.9973898</v>
      </c>
    </row>
    <row r="113" spans="1:6" ht="15" x14ac:dyDescent="0.2">
      <c r="B113" s="109" t="s">
        <v>51</v>
      </c>
      <c r="C113" s="110"/>
      <c r="D113" s="110"/>
      <c r="E113" s="110"/>
      <c r="F113" s="72">
        <f>F112*0.18</f>
        <v>822487411.61953008</v>
      </c>
    </row>
    <row r="114" spans="1:6" ht="15" x14ac:dyDescent="0.2">
      <c r="B114" s="109" t="s">
        <v>52</v>
      </c>
      <c r="C114" s="110"/>
      <c r="D114" s="110"/>
      <c r="E114" s="110"/>
      <c r="F114" s="72">
        <f>F112*0.01</f>
        <v>45693745.089973897</v>
      </c>
    </row>
    <row r="115" spans="1:6" ht="15.75" x14ac:dyDescent="0.2">
      <c r="B115" s="111" t="s">
        <v>97</v>
      </c>
      <c r="C115" s="112"/>
      <c r="D115" s="112"/>
      <c r="E115" s="112"/>
      <c r="F115" s="73">
        <f>F112+F113+F114</f>
        <v>5437555665.706893</v>
      </c>
    </row>
    <row r="116" spans="1:6" ht="15" thickBot="1" x14ac:dyDescent="0.25">
      <c r="B116" s="40"/>
      <c r="C116" s="41"/>
      <c r="D116" s="41"/>
      <c r="E116" s="41"/>
      <c r="F116" s="74"/>
    </row>
    <row r="118" spans="1:6" ht="30.75" customHeight="1" x14ac:dyDescent="0.2">
      <c r="A118" s="113" t="s">
        <v>101</v>
      </c>
      <c r="B118" s="113"/>
      <c r="C118" s="113"/>
      <c r="D118" s="113"/>
      <c r="E118" s="113"/>
      <c r="F118" s="113"/>
    </row>
    <row r="119" spans="1:6" ht="15" x14ac:dyDescent="0.2">
      <c r="A119" s="43"/>
      <c r="B119" s="43"/>
      <c r="C119" s="43"/>
      <c r="D119" s="43"/>
      <c r="E119" s="43"/>
      <c r="F119" s="43"/>
    </row>
    <row r="121" spans="1:6" x14ac:dyDescent="0.2">
      <c r="A121" s="105" t="s">
        <v>98</v>
      </c>
      <c r="B121" s="105"/>
    </row>
    <row r="122" spans="1:6" x14ac:dyDescent="0.2">
      <c r="A122" s="30"/>
      <c r="B122" s="30"/>
    </row>
    <row r="124" spans="1:6" ht="15" x14ac:dyDescent="0.2">
      <c r="A124" s="106" t="s">
        <v>99</v>
      </c>
      <c r="B124" s="106"/>
    </row>
    <row r="126" spans="1:6" ht="15" x14ac:dyDescent="0.2">
      <c r="A126" s="106" t="s">
        <v>100</v>
      </c>
      <c r="B126" s="106"/>
    </row>
  </sheetData>
  <mergeCells count="29">
    <mergeCell ref="B107:F107"/>
    <mergeCell ref="B43:F43"/>
    <mergeCell ref="B57:F57"/>
    <mergeCell ref="B67:F67"/>
    <mergeCell ref="B73:F73"/>
    <mergeCell ref="B79:F79"/>
    <mergeCell ref="E8:F8"/>
    <mergeCell ref="E9:F9"/>
    <mergeCell ref="B90:F90"/>
    <mergeCell ref="B95:F95"/>
    <mergeCell ref="B100:F100"/>
    <mergeCell ref="A13:F13"/>
    <mergeCell ref="A15:F15"/>
    <mergeCell ref="B38:F38"/>
    <mergeCell ref="B25:F25"/>
    <mergeCell ref="B30:F30"/>
    <mergeCell ref="B16:F16"/>
    <mergeCell ref="B17:F17"/>
    <mergeCell ref="B18:F18"/>
    <mergeCell ref="A20:F20"/>
    <mergeCell ref="A22:B22"/>
    <mergeCell ref="A121:B121"/>
    <mergeCell ref="A124:B124"/>
    <mergeCell ref="A126:B126"/>
    <mergeCell ref="B112:E112"/>
    <mergeCell ref="B113:E113"/>
    <mergeCell ref="B114:E114"/>
    <mergeCell ref="B115:E115"/>
    <mergeCell ref="A118:F118"/>
  </mergeCells>
  <pageMargins left="0.74803149606299213" right="0.74803149606299213" top="0.86614173228346458" bottom="0.98425196850393704" header="0.51181102362204722" footer="0.51181102362204722"/>
  <pageSetup paperSize="9" scale="62" orientation="portrait" verticalDpi="300" r:id="rId1"/>
  <headerFooter>
    <oddFooter>&amp;L&amp;G&amp;R&amp;G</oddFooter>
  </headerFooter>
  <rowBreaks count="1" manualBreakCount="1">
    <brk id="66" max="5" man="1"/>
  </rowBreaks>
  <colBreaks count="1" manualBreakCount="1">
    <brk id="6" max="1048575" man="1"/>
  </colBreaks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6FD6A-D1E0-4F1C-8121-242B61A0C89B}">
  <sheetPr codeName="Feuil3"/>
  <dimension ref="A2:F126"/>
  <sheetViews>
    <sheetView view="pageBreakPreview" topLeftCell="A25" zoomScaleNormal="100" zoomScaleSheetLayoutView="100" workbookViewId="0">
      <selection activeCell="K16" sqref="K16"/>
    </sheetView>
  </sheetViews>
  <sheetFormatPr baseColWidth="10" defaultColWidth="9.140625" defaultRowHeight="14.25" x14ac:dyDescent="0.2"/>
  <cols>
    <col min="1" max="1" width="9.85546875" style="2" customWidth="1"/>
    <col min="2" max="2" width="58.7109375" style="1" customWidth="1"/>
    <col min="3" max="3" width="12" style="2" customWidth="1"/>
    <col min="4" max="4" width="11.7109375" style="2" customWidth="1"/>
    <col min="5" max="5" width="20" style="2" customWidth="1"/>
    <col min="6" max="6" width="20.42578125" style="2" customWidth="1"/>
    <col min="7" max="16384" width="9.140625" style="1"/>
  </cols>
  <sheetData>
    <row r="2" spans="1:6" x14ac:dyDescent="0.2">
      <c r="A2" s="31"/>
      <c r="B2" s="31"/>
    </row>
    <row r="3" spans="1:6" x14ac:dyDescent="0.2">
      <c r="A3" s="31"/>
      <c r="B3" s="31"/>
    </row>
    <row r="4" spans="1:6" x14ac:dyDescent="0.2">
      <c r="A4" s="31"/>
      <c r="B4" s="31"/>
    </row>
    <row r="5" spans="1:6" x14ac:dyDescent="0.2">
      <c r="A5" s="31"/>
      <c r="B5" s="31"/>
    </row>
    <row r="6" spans="1:6" x14ac:dyDescent="0.2">
      <c r="A6" s="31"/>
      <c r="B6" s="31"/>
    </row>
    <row r="7" spans="1:6" x14ac:dyDescent="0.2">
      <c r="A7" s="31"/>
      <c r="B7" s="31"/>
    </row>
    <row r="8" spans="1:6" x14ac:dyDescent="0.2">
      <c r="A8" s="31"/>
      <c r="B8" s="31"/>
      <c r="C8" s="31"/>
      <c r="D8" s="32"/>
      <c r="E8" s="93"/>
      <c r="F8" s="93"/>
    </row>
    <row r="9" spans="1:6" x14ac:dyDescent="0.2">
      <c r="A9" s="31"/>
      <c r="B9" s="31"/>
      <c r="E9" s="94"/>
      <c r="F9" s="94"/>
    </row>
    <row r="12" spans="1:6" ht="15" thickBot="1" x14ac:dyDescent="0.25"/>
    <row r="13" spans="1:6" ht="30" customHeight="1" thickBot="1" x14ac:dyDescent="0.25">
      <c r="A13" s="95" t="s">
        <v>119</v>
      </c>
      <c r="B13" s="96"/>
      <c r="C13" s="96"/>
      <c r="D13" s="96"/>
      <c r="E13" s="96"/>
      <c r="F13" s="97"/>
    </row>
    <row r="14" spans="1:6" ht="20.100000000000001" customHeight="1" x14ac:dyDescent="0.2">
      <c r="A14" s="70"/>
      <c r="B14" s="70"/>
      <c r="C14" s="70"/>
      <c r="D14" s="70"/>
      <c r="E14" s="70"/>
      <c r="F14" s="70"/>
    </row>
    <row r="15" spans="1:6" ht="20.25" x14ac:dyDescent="0.2">
      <c r="A15" s="98" t="s">
        <v>53</v>
      </c>
      <c r="B15" s="98"/>
      <c r="C15" s="98"/>
      <c r="D15" s="98"/>
      <c r="E15" s="98"/>
      <c r="F15" s="98"/>
    </row>
    <row r="16" spans="1:6" ht="20.25" x14ac:dyDescent="0.2">
      <c r="A16" s="69"/>
      <c r="B16" s="99" t="s">
        <v>93</v>
      </c>
      <c r="C16" s="99"/>
      <c r="D16" s="99"/>
      <c r="E16" s="99"/>
      <c r="F16" s="99"/>
    </row>
    <row r="17" spans="1:6" ht="20.25" x14ac:dyDescent="0.2">
      <c r="A17" s="69"/>
      <c r="B17" s="99" t="s">
        <v>92</v>
      </c>
      <c r="C17" s="99"/>
      <c r="D17" s="99"/>
      <c r="E17" s="99"/>
      <c r="F17" s="99"/>
    </row>
    <row r="18" spans="1:6" ht="20.25" x14ac:dyDescent="0.2">
      <c r="A18" s="69"/>
      <c r="B18" s="99" t="s">
        <v>90</v>
      </c>
      <c r="C18" s="99"/>
      <c r="D18" s="99"/>
      <c r="E18" s="99"/>
      <c r="F18" s="99"/>
    </row>
    <row r="20" spans="1:6" ht="20.25" x14ac:dyDescent="0.2">
      <c r="A20" s="100" t="s">
        <v>112</v>
      </c>
      <c r="B20" s="99"/>
      <c r="C20" s="99"/>
      <c r="D20" s="99"/>
      <c r="E20" s="99"/>
      <c r="F20" s="99"/>
    </row>
    <row r="21" spans="1:6" ht="20.25" x14ac:dyDescent="0.2">
      <c r="A21" s="51"/>
      <c r="B21" s="6"/>
      <c r="C21" s="6"/>
      <c r="D21" s="6"/>
      <c r="E21" s="6"/>
      <c r="F21" s="6"/>
    </row>
    <row r="22" spans="1:6" ht="14.1" customHeight="1" x14ac:dyDescent="0.2">
      <c r="A22" s="101" t="s">
        <v>106</v>
      </c>
      <c r="B22" s="101"/>
      <c r="C22" s="6"/>
      <c r="D22" s="6"/>
      <c r="E22" s="6"/>
      <c r="F22" s="6"/>
    </row>
    <row r="24" spans="1:6" ht="15" x14ac:dyDescent="0.25">
      <c r="A24" s="52" t="s">
        <v>105</v>
      </c>
      <c r="B24" s="53" t="s">
        <v>104</v>
      </c>
      <c r="C24" s="33" t="s">
        <v>0</v>
      </c>
      <c r="D24" s="33" t="s">
        <v>1</v>
      </c>
      <c r="E24" s="33" t="s">
        <v>117</v>
      </c>
      <c r="F24" s="33" t="s">
        <v>118</v>
      </c>
    </row>
    <row r="25" spans="1:6" ht="15" x14ac:dyDescent="0.2">
      <c r="A25" s="34">
        <v>100</v>
      </c>
      <c r="B25" s="114" t="s">
        <v>10</v>
      </c>
      <c r="C25" s="115"/>
      <c r="D25" s="115"/>
      <c r="E25" s="115"/>
      <c r="F25" s="116"/>
    </row>
    <row r="26" spans="1:6" ht="28.5" x14ac:dyDescent="0.2">
      <c r="A26" s="3">
        <v>101</v>
      </c>
      <c r="B26" s="44" t="s">
        <v>54</v>
      </c>
      <c r="C26" s="10">
        <v>1</v>
      </c>
      <c r="D26" s="10" t="s">
        <v>3</v>
      </c>
      <c r="E26" s="11">
        <v>150000000</v>
      </c>
      <c r="F26" s="67" t="str" cm="1">
        <f t="array" ref="F26">NombreEnLettres(E26)</f>
        <v>Cent Cinquante Million</v>
      </c>
    </row>
    <row r="27" spans="1:6" ht="28.5" x14ac:dyDescent="0.2">
      <c r="A27" s="3">
        <v>103</v>
      </c>
      <c r="B27" s="47" t="s">
        <v>11</v>
      </c>
      <c r="C27" s="3">
        <v>1</v>
      </c>
      <c r="D27" s="3" t="s">
        <v>3</v>
      </c>
      <c r="E27" s="5">
        <v>7500000</v>
      </c>
      <c r="F27" s="67" t="str" cm="1">
        <f t="array" ref="F27">NombreEnLettres(E27)</f>
        <v>Sept Million Cinq Cent Mille</v>
      </c>
    </row>
    <row r="28" spans="1:6" ht="28.5" x14ac:dyDescent="0.2">
      <c r="A28" s="7">
        <v>104</v>
      </c>
      <c r="B28" s="48" t="s">
        <v>37</v>
      </c>
      <c r="C28" s="7">
        <v>1</v>
      </c>
      <c r="D28" s="7" t="s">
        <v>3</v>
      </c>
      <c r="E28" s="8">
        <v>6500000</v>
      </c>
      <c r="F28" s="67" t="str" cm="1">
        <f t="array" ref="F28">NombreEnLettres(E28)</f>
        <v>Six Million Cinq Cent Mille</v>
      </c>
    </row>
    <row r="29" spans="1:6" ht="15" x14ac:dyDescent="0.2">
      <c r="A29" s="9"/>
      <c r="B29" s="19" t="s">
        <v>39</v>
      </c>
      <c r="C29" s="19"/>
      <c r="D29" s="19"/>
      <c r="E29" s="20"/>
      <c r="F29" s="20"/>
    </row>
    <row r="30" spans="1:6" ht="15" x14ac:dyDescent="0.2">
      <c r="A30" s="35">
        <v>200</v>
      </c>
      <c r="B30" s="114" t="s">
        <v>15</v>
      </c>
      <c r="C30" s="115"/>
      <c r="D30" s="115"/>
      <c r="E30" s="115"/>
      <c r="F30" s="116"/>
    </row>
    <row r="31" spans="1:6" ht="28.5" x14ac:dyDescent="0.2">
      <c r="A31" s="3">
        <v>201</v>
      </c>
      <c r="B31" s="44" t="s">
        <v>55</v>
      </c>
      <c r="C31" s="21">
        <f>(75000+(1013*12))/10000</f>
        <v>8.7156000000000002</v>
      </c>
      <c r="D31" s="15" t="s">
        <v>57</v>
      </c>
      <c r="E31" s="16">
        <v>1750000</v>
      </c>
      <c r="F31" s="67" t="str" cm="1">
        <f t="array" ref="F31">NombreEnLettres(E31)</f>
        <v>Un Million Sept Cent Cinquante Mille</v>
      </c>
    </row>
    <row r="32" spans="1:6" x14ac:dyDescent="0.2">
      <c r="A32" s="3">
        <v>202</v>
      </c>
      <c r="B32" s="47" t="s">
        <v>56</v>
      </c>
      <c r="C32" s="13">
        <v>1</v>
      </c>
      <c r="D32" s="13" t="s">
        <v>38</v>
      </c>
      <c r="E32" s="14">
        <v>65000000</v>
      </c>
      <c r="F32" s="67" t="str" cm="1">
        <f t="array" ref="F32">NombreEnLettres(E32)</f>
        <v>Soixante-Cinq Million</v>
      </c>
    </row>
    <row r="33" spans="1:6" x14ac:dyDescent="0.2">
      <c r="A33" s="3">
        <v>203</v>
      </c>
      <c r="B33" s="47" t="s">
        <v>6</v>
      </c>
      <c r="C33" s="13">
        <v>1</v>
      </c>
      <c r="D33" s="13" t="s">
        <v>38</v>
      </c>
      <c r="E33" s="14">
        <v>32000000</v>
      </c>
      <c r="F33" s="65" t="str" cm="1">
        <f t="array" ref="F33">NombreEnLettres(E33)</f>
        <v>Trente-Deux Million</v>
      </c>
    </row>
    <row r="34" spans="1:6" x14ac:dyDescent="0.2">
      <c r="A34" s="3">
        <v>204</v>
      </c>
      <c r="B34" s="47" t="s">
        <v>5</v>
      </c>
      <c r="C34" s="13">
        <v>1</v>
      </c>
      <c r="D34" s="13" t="s">
        <v>38</v>
      </c>
      <c r="E34" s="14">
        <v>32000000</v>
      </c>
      <c r="F34" s="67" t="str" cm="1">
        <f t="array" ref="F34">NombreEnLettres(E34)</f>
        <v>Trente-Deux Million</v>
      </c>
    </row>
    <row r="35" spans="1:6" ht="14.25" customHeight="1" x14ac:dyDescent="0.2">
      <c r="A35" s="3">
        <v>205</v>
      </c>
      <c r="B35" s="47" t="s">
        <v>12</v>
      </c>
      <c r="C35" s="13">
        <v>1</v>
      </c>
      <c r="D35" s="13" t="s">
        <v>38</v>
      </c>
      <c r="E35" s="14">
        <v>47000000</v>
      </c>
      <c r="F35" s="67" t="str" cm="1">
        <f t="array" ref="F35">NombreEnLettres(E35)</f>
        <v>Quarante-Sept Million</v>
      </c>
    </row>
    <row r="36" spans="1:6" ht="28.5" x14ac:dyDescent="0.2">
      <c r="A36" s="3">
        <v>206</v>
      </c>
      <c r="B36" s="47" t="s">
        <v>13</v>
      </c>
      <c r="C36" s="13">
        <v>1</v>
      </c>
      <c r="D36" s="13" t="s">
        <v>38</v>
      </c>
      <c r="E36" s="14">
        <v>6500000</v>
      </c>
      <c r="F36" s="67" t="str" cm="1">
        <f t="array" ref="F36">NombreEnLettres(E36)</f>
        <v>Six Million Cinq Cent Mille</v>
      </c>
    </row>
    <row r="37" spans="1:6" ht="15" x14ac:dyDescent="0.2">
      <c r="A37" s="9"/>
      <c r="B37" s="19" t="s">
        <v>40</v>
      </c>
      <c r="C37" s="19"/>
      <c r="D37" s="19"/>
      <c r="E37" s="20"/>
      <c r="F37" s="20"/>
    </row>
    <row r="38" spans="1:6" ht="16.5" customHeight="1" x14ac:dyDescent="0.2">
      <c r="A38" s="35">
        <v>300</v>
      </c>
      <c r="B38" s="114" t="s">
        <v>75</v>
      </c>
      <c r="C38" s="115"/>
      <c r="D38" s="115"/>
      <c r="E38" s="115"/>
      <c r="F38" s="116"/>
    </row>
    <row r="39" spans="1:6" ht="28.5" x14ac:dyDescent="0.2">
      <c r="A39" s="10">
        <v>301</v>
      </c>
      <c r="B39" s="44" t="s">
        <v>72</v>
      </c>
      <c r="C39" s="16">
        <v>40000</v>
      </c>
      <c r="D39" s="15" t="s">
        <v>9</v>
      </c>
      <c r="E39" s="16">
        <f>780+1850</f>
        <v>2630</v>
      </c>
      <c r="F39" s="67" t="str" cm="1">
        <f t="array" ref="F39">NombreEnLettres(E39)</f>
        <v>Deux Mille Six Cent Trente</v>
      </c>
    </row>
    <row r="40" spans="1:6" ht="28.5" x14ac:dyDescent="0.2">
      <c r="A40" s="10">
        <v>302</v>
      </c>
      <c r="B40" s="45" t="s">
        <v>73</v>
      </c>
      <c r="C40" s="16">
        <f>5*7*200*0.3</f>
        <v>2100</v>
      </c>
      <c r="D40" s="13" t="s">
        <v>89</v>
      </c>
      <c r="E40" s="16">
        <v>28080</v>
      </c>
      <c r="F40" s="67" t="str" cm="1">
        <f t="array" ref="F40">NombreEnLettres(E40)</f>
        <v>Vingt-Huit Mille Quatre-Vingt</v>
      </c>
    </row>
    <row r="41" spans="1:6" ht="28.5" x14ac:dyDescent="0.2">
      <c r="A41" s="12">
        <v>302</v>
      </c>
      <c r="B41" s="46" t="s">
        <v>74</v>
      </c>
      <c r="C41" s="22">
        <v>1</v>
      </c>
      <c r="D41" s="17" t="s">
        <v>3</v>
      </c>
      <c r="E41" s="23">
        <v>7000000</v>
      </c>
      <c r="F41" s="65" t="str" cm="1">
        <f t="array" ref="F41">NombreEnLettres(E41)</f>
        <v>Sept Million</v>
      </c>
    </row>
    <row r="42" spans="1:6" ht="15" x14ac:dyDescent="0.2">
      <c r="A42" s="9"/>
      <c r="B42" s="19" t="s">
        <v>41</v>
      </c>
      <c r="C42" s="19"/>
      <c r="D42" s="19"/>
      <c r="E42" s="20"/>
      <c r="F42" s="20"/>
    </row>
    <row r="43" spans="1:6" ht="15" x14ac:dyDescent="0.2">
      <c r="A43" s="35">
        <v>400</v>
      </c>
      <c r="B43" s="114" t="s">
        <v>14</v>
      </c>
      <c r="C43" s="115"/>
      <c r="D43" s="115"/>
      <c r="E43" s="115"/>
      <c r="F43" s="116"/>
    </row>
    <row r="44" spans="1:6" ht="28.5" x14ac:dyDescent="0.2">
      <c r="A44" s="3">
        <v>401</v>
      </c>
      <c r="B44" s="44" t="s">
        <v>16</v>
      </c>
      <c r="C44" s="16">
        <v>45000</v>
      </c>
      <c r="D44" s="15" t="s">
        <v>9</v>
      </c>
      <c r="E44" s="16">
        <f>780+1850</f>
        <v>2630</v>
      </c>
      <c r="F44" s="67" t="str" cm="1">
        <f t="array" ref="F44">NombreEnLettres(E44)</f>
        <v>Deux Mille Six Cent Trente</v>
      </c>
    </row>
    <row r="45" spans="1:6" ht="28.5" x14ac:dyDescent="0.2">
      <c r="A45" s="3">
        <v>402</v>
      </c>
      <c r="B45" s="47" t="s">
        <v>17</v>
      </c>
      <c r="C45" s="14">
        <f>523000*0.6</f>
        <v>313800</v>
      </c>
      <c r="D45" s="13" t="s">
        <v>89</v>
      </c>
      <c r="E45" s="14">
        <v>2150</v>
      </c>
      <c r="F45" s="67" t="str" cm="1">
        <f t="array" ref="F45">NombreEnLettres(E45)</f>
        <v>Deux Mille Cent Cinquante</v>
      </c>
    </row>
    <row r="46" spans="1:6" ht="16.5" x14ac:dyDescent="0.2">
      <c r="A46" s="3">
        <v>403</v>
      </c>
      <c r="B46" s="47" t="s">
        <v>79</v>
      </c>
      <c r="C46" s="14">
        <f>55300*0.1</f>
        <v>5530</v>
      </c>
      <c r="D46" s="13" t="s">
        <v>89</v>
      </c>
      <c r="E46" s="14">
        <v>3600</v>
      </c>
      <c r="F46" s="67" t="str" cm="1">
        <f t="array" ref="F46">NombreEnLettres(E46)</f>
        <v>Trois Mille Six Cent</v>
      </c>
    </row>
    <row r="47" spans="1:6" ht="42.75" x14ac:dyDescent="0.2">
      <c r="A47" s="3">
        <v>404</v>
      </c>
      <c r="B47" s="47" t="s">
        <v>58</v>
      </c>
      <c r="C47" s="14">
        <f>8173+3607+1064</f>
        <v>12844</v>
      </c>
      <c r="D47" s="13" t="s">
        <v>9</v>
      </c>
      <c r="E47" s="14">
        <v>2195</v>
      </c>
      <c r="F47" s="67" t="str" cm="1">
        <f t="array" ref="F47">NombreEnLettres(E47)</f>
        <v>Deux Mille Cent Quatre-Vingt-Dix-Cinq</v>
      </c>
    </row>
    <row r="48" spans="1:6" ht="28.5" x14ac:dyDescent="0.2">
      <c r="A48" s="3">
        <v>405</v>
      </c>
      <c r="B48" s="47" t="s">
        <v>59</v>
      </c>
      <c r="C48" s="14">
        <f>(8173+3607+1064)</f>
        <v>12844</v>
      </c>
      <c r="D48" s="13" t="s">
        <v>89</v>
      </c>
      <c r="E48" s="14">
        <v>14733</v>
      </c>
      <c r="F48" s="67" t="str" cm="1">
        <f t="array" ref="F48">NombreEnLettres(E48)</f>
        <v>Quatorze Mille Sept Cent Trente-Trois</v>
      </c>
    </row>
    <row r="49" spans="1:6" ht="42.75" x14ac:dyDescent="0.2">
      <c r="A49" s="3">
        <v>406</v>
      </c>
      <c r="B49" s="47" t="s">
        <v>84</v>
      </c>
      <c r="C49" s="14">
        <f>(8173+3607+1064+20304)*1.2</f>
        <v>39777.599999999999</v>
      </c>
      <c r="D49" s="13" t="s">
        <v>9</v>
      </c>
      <c r="E49" s="14">
        <f>((4*656)*1.4)+2000</f>
        <v>5673.6</v>
      </c>
      <c r="F49" s="67" t="str" cm="1">
        <f t="array" ref="F49">NombreEnLettres(E49)</f>
        <v>Cinq Mille Six Cent Soixante-Dix-Trois Virgule Soixante</v>
      </c>
    </row>
    <row r="50" spans="1:6" ht="42.75" x14ac:dyDescent="0.2">
      <c r="A50" s="3">
        <v>407</v>
      </c>
      <c r="B50" s="47" t="s">
        <v>85</v>
      </c>
      <c r="C50" s="14">
        <f>C49</f>
        <v>39777.599999999999</v>
      </c>
      <c r="D50" s="13" t="s">
        <v>9</v>
      </c>
      <c r="E50" s="14">
        <f>((4.5*656)*1.4)+2000</f>
        <v>6132.8</v>
      </c>
      <c r="F50" s="67" t="str" cm="1">
        <f t="array" ref="F50">NombreEnLettres(E50)</f>
        <v>Six Mille Cent Trente-Deux Virgule Quatre-Vingt</v>
      </c>
    </row>
    <row r="51" spans="1:6" ht="28.5" x14ac:dyDescent="0.2">
      <c r="A51" s="3">
        <v>408</v>
      </c>
      <c r="B51" s="47" t="s">
        <v>86</v>
      </c>
      <c r="C51" s="14">
        <f>C50</f>
        <v>39777.599999999999</v>
      </c>
      <c r="D51" s="13" t="s">
        <v>9</v>
      </c>
      <c r="E51" s="14">
        <v>1980</v>
      </c>
      <c r="F51" s="67" t="str" cm="1">
        <f t="array" ref="F51">NombreEnLettres(E51)</f>
        <v>Un Mille Neuf Cent Quatre-Vingt</v>
      </c>
    </row>
    <row r="52" spans="1:6" x14ac:dyDescent="0.2">
      <c r="A52" s="3">
        <v>409</v>
      </c>
      <c r="B52" s="47" t="s">
        <v>60</v>
      </c>
      <c r="C52" s="14">
        <v>635</v>
      </c>
      <c r="D52" s="13" t="s">
        <v>4</v>
      </c>
      <c r="E52" s="14">
        <v>85000</v>
      </c>
      <c r="F52" s="65" t="str" cm="1">
        <f t="array" ref="F52">NombreEnLettres(E52)</f>
        <v>Quatre-Vingt-Cinq Mille</v>
      </c>
    </row>
    <row r="53" spans="1:6" ht="28.5" x14ac:dyDescent="0.2">
      <c r="A53" s="3">
        <v>410</v>
      </c>
      <c r="B53" s="47" t="s">
        <v>18</v>
      </c>
      <c r="C53" s="14">
        <v>3</v>
      </c>
      <c r="D53" s="13" t="s">
        <v>38</v>
      </c>
      <c r="E53" s="14">
        <v>4500000</v>
      </c>
      <c r="F53" s="67" t="str" cm="1">
        <f t="array" ref="F53">NombreEnLettres(E53)</f>
        <v>Quatre Million Cinq Cent Mille</v>
      </c>
    </row>
    <row r="54" spans="1:6" ht="28.5" x14ac:dyDescent="0.2">
      <c r="A54" s="3">
        <v>411</v>
      </c>
      <c r="B54" s="47" t="s">
        <v>87</v>
      </c>
      <c r="C54" s="14">
        <v>3</v>
      </c>
      <c r="D54" s="13" t="s">
        <v>38</v>
      </c>
      <c r="E54" s="14">
        <v>7500000</v>
      </c>
      <c r="F54" s="67" t="str" cm="1">
        <f t="array" ref="F54">NombreEnLettres(E54)</f>
        <v>Sept Million Cinq Cent Mille</v>
      </c>
    </row>
    <row r="55" spans="1:6" ht="15" customHeight="1" x14ac:dyDescent="0.2">
      <c r="A55" s="3">
        <v>412</v>
      </c>
      <c r="B55" s="47" t="s">
        <v>76</v>
      </c>
      <c r="C55" s="14">
        <f>(8173+3607+1064)*0.3</f>
        <v>3853.2</v>
      </c>
      <c r="D55" s="13" t="s">
        <v>89</v>
      </c>
      <c r="E55" s="14">
        <v>20000</v>
      </c>
      <c r="F55" s="65" t="str" cm="1">
        <f t="array" ref="F55">NombreEnLettres(E55)</f>
        <v>Vingt Mille</v>
      </c>
    </row>
    <row r="56" spans="1:6" ht="15" x14ac:dyDescent="0.2">
      <c r="A56" s="9"/>
      <c r="B56" s="24" t="s">
        <v>42</v>
      </c>
      <c r="C56" s="24"/>
      <c r="D56" s="24"/>
      <c r="E56" s="25"/>
      <c r="F56" s="25"/>
    </row>
    <row r="57" spans="1:6" ht="15" x14ac:dyDescent="0.2">
      <c r="A57" s="36">
        <v>500</v>
      </c>
      <c r="B57" s="114" t="s">
        <v>19</v>
      </c>
      <c r="C57" s="115"/>
      <c r="D57" s="115"/>
      <c r="E57" s="115"/>
      <c r="F57" s="116"/>
    </row>
    <row r="58" spans="1:6" ht="28.5" x14ac:dyDescent="0.2">
      <c r="A58" s="3">
        <v>501</v>
      </c>
      <c r="B58" s="47" t="s">
        <v>16</v>
      </c>
      <c r="C58" s="14">
        <v>15000</v>
      </c>
      <c r="D58" s="13" t="s">
        <v>9</v>
      </c>
      <c r="E58" s="14">
        <f>780+1850</f>
        <v>2630</v>
      </c>
      <c r="F58" s="68" t="str" cm="1">
        <f t="array" ref="F58">NombreEnLettres(E58)</f>
        <v>Deux Mille Six Cent Trente</v>
      </c>
    </row>
    <row r="59" spans="1:6" ht="28.5" x14ac:dyDescent="0.2">
      <c r="A59" s="3">
        <v>502</v>
      </c>
      <c r="B59" s="47" t="s">
        <v>17</v>
      </c>
      <c r="C59" s="14">
        <f>523000*0.25</f>
        <v>130750</v>
      </c>
      <c r="D59" s="13" t="s">
        <v>89</v>
      </c>
      <c r="E59" s="14">
        <v>2150</v>
      </c>
      <c r="F59" s="68" t="str" cm="1">
        <f t="array" ref="F59">NombreEnLettres(E59)</f>
        <v>Deux Mille Cent Cinquante</v>
      </c>
    </row>
    <row r="60" spans="1:6" ht="16.5" x14ac:dyDescent="0.2">
      <c r="A60" s="3">
        <v>503</v>
      </c>
      <c r="B60" s="47" t="s">
        <v>78</v>
      </c>
      <c r="C60" s="14">
        <f>55300*0.4</f>
        <v>22120</v>
      </c>
      <c r="D60" s="13" t="s">
        <v>89</v>
      </c>
      <c r="E60" s="14">
        <v>3600</v>
      </c>
      <c r="F60" s="68" t="str" cm="1">
        <f t="array" ref="F60">NombreEnLettres(E60)</f>
        <v>Trois Mille Six Cent</v>
      </c>
    </row>
    <row r="61" spans="1:6" ht="42.75" x14ac:dyDescent="0.2">
      <c r="A61" s="3">
        <v>504</v>
      </c>
      <c r="B61" s="47" t="s">
        <v>61</v>
      </c>
      <c r="C61" s="14">
        <v>2669</v>
      </c>
      <c r="D61" s="13" t="s">
        <v>9</v>
      </c>
      <c r="E61" s="14">
        <v>2195</v>
      </c>
      <c r="F61" s="68" t="str" cm="1">
        <f t="array" ref="F61">NombreEnLettres(E61)</f>
        <v>Deux Mille Cent Quatre-Vingt-Dix-Cinq</v>
      </c>
    </row>
    <row r="62" spans="1:6" ht="28.5" x14ac:dyDescent="0.2">
      <c r="A62" s="3">
        <v>505</v>
      </c>
      <c r="B62" s="47" t="s">
        <v>59</v>
      </c>
      <c r="C62" s="14">
        <f>C61*1</f>
        <v>2669</v>
      </c>
      <c r="D62" s="13" t="s">
        <v>89</v>
      </c>
      <c r="E62" s="14">
        <v>14733</v>
      </c>
      <c r="F62" s="68" t="str" cm="1">
        <f t="array" ref="F62">NombreEnLettres(E62)</f>
        <v>Quatorze Mille Sept Cent Trente-Trois</v>
      </c>
    </row>
    <row r="63" spans="1:6" ht="42.75" x14ac:dyDescent="0.2">
      <c r="A63" s="3">
        <v>506</v>
      </c>
      <c r="B63" s="47" t="s">
        <v>84</v>
      </c>
      <c r="C63" s="14">
        <f>(2669+1946)*1.2</f>
        <v>5538</v>
      </c>
      <c r="D63" s="13" t="s">
        <v>9</v>
      </c>
      <c r="E63" s="14">
        <f>((4*656)*1.4)+2000</f>
        <v>5673.6</v>
      </c>
      <c r="F63" s="68" t="str" cm="1">
        <f t="array" ref="F63">NombreEnLettres(E63)</f>
        <v>Cinq Mille Six Cent Soixante-Dix-Trois Virgule Soixante</v>
      </c>
    </row>
    <row r="64" spans="1:6" ht="42.75" x14ac:dyDescent="0.2">
      <c r="A64" s="3">
        <v>507</v>
      </c>
      <c r="B64" s="47" t="s">
        <v>85</v>
      </c>
      <c r="C64" s="14">
        <f>C63</f>
        <v>5538</v>
      </c>
      <c r="D64" s="13" t="s">
        <v>9</v>
      </c>
      <c r="E64" s="14">
        <f>((4.5*656)*1.4)+2000</f>
        <v>6132.8</v>
      </c>
      <c r="F64" s="68" t="str" cm="1">
        <f t="array" ref="F64">NombreEnLettres(E64)</f>
        <v>Six Mille Cent Trente-Deux Virgule Quatre-Vingt</v>
      </c>
    </row>
    <row r="65" spans="1:6" ht="28.5" x14ac:dyDescent="0.2">
      <c r="A65" s="3">
        <v>508</v>
      </c>
      <c r="B65" s="47" t="s">
        <v>86</v>
      </c>
      <c r="C65" s="14">
        <f>C64</f>
        <v>5538</v>
      </c>
      <c r="D65" s="13" t="s">
        <v>9</v>
      </c>
      <c r="E65" s="14">
        <v>1980</v>
      </c>
      <c r="F65" s="68" t="str" cm="1">
        <f t="array" ref="F65">NombreEnLettres(E65)</f>
        <v>Un Mille Neuf Cent Quatre-Vingt</v>
      </c>
    </row>
    <row r="66" spans="1:6" ht="15" x14ac:dyDescent="0.2">
      <c r="A66" s="9"/>
      <c r="B66" s="24" t="s">
        <v>43</v>
      </c>
      <c r="C66" s="24"/>
      <c r="D66" s="24"/>
      <c r="E66" s="25"/>
      <c r="F66" s="25"/>
    </row>
    <row r="67" spans="1:6" ht="15" x14ac:dyDescent="0.2">
      <c r="A67" s="36">
        <v>600</v>
      </c>
      <c r="B67" s="114" t="s">
        <v>8</v>
      </c>
      <c r="C67" s="115"/>
      <c r="D67" s="115"/>
      <c r="E67" s="115"/>
      <c r="F67" s="116"/>
    </row>
    <row r="68" spans="1:6" ht="28.5" x14ac:dyDescent="0.2">
      <c r="A68" s="3">
        <v>601</v>
      </c>
      <c r="B68" s="47" t="s">
        <v>16</v>
      </c>
      <c r="C68" s="14">
        <v>15000</v>
      </c>
      <c r="D68" s="13" t="s">
        <v>9</v>
      </c>
      <c r="E68" s="14">
        <f>780+1850</f>
        <v>2630</v>
      </c>
      <c r="F68" s="68" t="str" cm="1">
        <f t="array" ref="F68">NombreEnLettres(E68)</f>
        <v>Deux Mille Six Cent Trente</v>
      </c>
    </row>
    <row r="69" spans="1:6" ht="28.5" x14ac:dyDescent="0.2">
      <c r="A69" s="3">
        <v>602</v>
      </c>
      <c r="B69" s="47" t="s">
        <v>17</v>
      </c>
      <c r="C69" s="14">
        <f>523000*0.15</f>
        <v>78450</v>
      </c>
      <c r="D69" s="13" t="s">
        <v>89</v>
      </c>
      <c r="E69" s="14">
        <v>2150</v>
      </c>
      <c r="F69" s="68" t="str" cm="1">
        <f t="array" ref="F69">NombreEnLettres(E69)</f>
        <v>Deux Mille Cent Cinquante</v>
      </c>
    </row>
    <row r="70" spans="1:6" ht="28.5" x14ac:dyDescent="0.2">
      <c r="A70" s="3">
        <v>603</v>
      </c>
      <c r="B70" s="47" t="s">
        <v>77</v>
      </c>
      <c r="C70" s="14">
        <f>55300*0.5</f>
        <v>27650</v>
      </c>
      <c r="D70" s="13" t="s">
        <v>89</v>
      </c>
      <c r="E70" s="14">
        <v>3600</v>
      </c>
      <c r="F70" s="66" t="str" cm="1">
        <f t="array" ref="F70">NombreEnLettres(E70)</f>
        <v>Trois Mille Six Cent</v>
      </c>
    </row>
    <row r="71" spans="1:6" ht="42.75" x14ac:dyDescent="0.2">
      <c r="A71" s="3">
        <v>604</v>
      </c>
      <c r="B71" s="48" t="s">
        <v>20</v>
      </c>
      <c r="C71" s="18">
        <v>8681</v>
      </c>
      <c r="D71" s="17" t="s">
        <v>9</v>
      </c>
      <c r="E71" s="18">
        <v>2195</v>
      </c>
      <c r="F71" s="68" t="str" cm="1">
        <f t="array" ref="F71">NombreEnLettres(E71)</f>
        <v>Deux Mille Cent Quatre-Vingt-Dix-Cinq</v>
      </c>
    </row>
    <row r="72" spans="1:6" ht="15" x14ac:dyDescent="0.2">
      <c r="A72" s="9"/>
      <c r="B72" s="24" t="s">
        <v>44</v>
      </c>
      <c r="C72" s="26"/>
      <c r="D72" s="24"/>
      <c r="E72" s="25"/>
      <c r="F72" s="25"/>
    </row>
    <row r="73" spans="1:6" ht="15" x14ac:dyDescent="0.2">
      <c r="A73" s="36">
        <v>700</v>
      </c>
      <c r="B73" s="114" t="s">
        <v>88</v>
      </c>
      <c r="C73" s="115"/>
      <c r="D73" s="115"/>
      <c r="E73" s="115"/>
      <c r="F73" s="116"/>
    </row>
    <row r="74" spans="1:6" ht="57" x14ac:dyDescent="0.2">
      <c r="A74" s="3">
        <v>702</v>
      </c>
      <c r="B74" s="47" t="s">
        <v>62</v>
      </c>
      <c r="C74" s="13">
        <v>50</v>
      </c>
      <c r="D74" s="13" t="s">
        <v>4</v>
      </c>
      <c r="E74" s="14">
        <f>(5000000000/4000/1.19)*11/12</f>
        <v>962885.15406162466</v>
      </c>
      <c r="F74" s="68" t="str" cm="1">
        <f t="array" ref="F74">NombreEnLettres(E74)</f>
        <v>Neuf Cent Soixante-Deux Mille Huit Cent Quatre-Vingt-Cinq Virgule Quinze</v>
      </c>
    </row>
    <row r="75" spans="1:6" ht="28.5" x14ac:dyDescent="0.2">
      <c r="A75" s="3">
        <v>703</v>
      </c>
      <c r="B75" s="47" t="s">
        <v>66</v>
      </c>
      <c r="C75" s="13">
        <v>1070</v>
      </c>
      <c r="D75" s="13" t="s">
        <v>4</v>
      </c>
      <c r="E75" s="14">
        <v>28080</v>
      </c>
      <c r="F75" s="68" t="str" cm="1">
        <f t="array" ref="F75">NombreEnLettres(E75)</f>
        <v>Vingt-Huit Mille Quatre-Vingt</v>
      </c>
    </row>
    <row r="76" spans="1:6" ht="42.75" x14ac:dyDescent="0.2">
      <c r="A76" s="3">
        <v>704</v>
      </c>
      <c r="B76" s="47" t="s">
        <v>80</v>
      </c>
      <c r="C76" s="13">
        <f>3168*0.2</f>
        <v>633.6</v>
      </c>
      <c r="D76" s="13" t="s">
        <v>89</v>
      </c>
      <c r="E76" s="14">
        <v>347400</v>
      </c>
      <c r="F76" s="68" t="str" cm="1">
        <f t="array" ref="F76">NombreEnLettres(E76)</f>
        <v>Trois Cent Quarante-Sept Mille Quatre Cent</v>
      </c>
    </row>
    <row r="77" spans="1:6" ht="28.5" x14ac:dyDescent="0.2">
      <c r="A77" s="3">
        <v>705</v>
      </c>
      <c r="B77" s="48" t="s">
        <v>81</v>
      </c>
      <c r="C77" s="17">
        <v>1842</v>
      </c>
      <c r="D77" s="17" t="s">
        <v>4</v>
      </c>
      <c r="E77" s="18">
        <f>110000+27000</f>
        <v>137000</v>
      </c>
      <c r="F77" s="68" t="str" cm="1">
        <f t="array" ref="F77">NombreEnLettres(E77)</f>
        <v>Cent Trente-Sept Mille</v>
      </c>
    </row>
    <row r="78" spans="1:6" ht="15" x14ac:dyDescent="0.2">
      <c r="A78" s="9"/>
      <c r="B78" s="24" t="s">
        <v>45</v>
      </c>
      <c r="C78" s="24"/>
      <c r="D78" s="24"/>
      <c r="E78" s="25"/>
      <c r="F78" s="25"/>
    </row>
    <row r="79" spans="1:6" ht="15" x14ac:dyDescent="0.2">
      <c r="A79" s="36">
        <v>800</v>
      </c>
      <c r="B79" s="114" t="s">
        <v>21</v>
      </c>
      <c r="C79" s="115"/>
      <c r="D79" s="115"/>
      <c r="E79" s="115"/>
      <c r="F79" s="116"/>
    </row>
    <row r="80" spans="1:6" x14ac:dyDescent="0.2">
      <c r="A80" s="3">
        <v>801</v>
      </c>
      <c r="B80" s="47" t="s">
        <v>83</v>
      </c>
      <c r="C80" s="13">
        <v>1050</v>
      </c>
      <c r="D80" s="13" t="s">
        <v>4</v>
      </c>
      <c r="E80" s="14">
        <v>45000</v>
      </c>
      <c r="F80" s="66" t="str" cm="1">
        <f t="array" ref="F80">NombreEnLettres(E80)</f>
        <v>Quarante-Cinq Mille</v>
      </c>
    </row>
    <row r="81" spans="1:6" x14ac:dyDescent="0.2">
      <c r="A81" s="3">
        <v>802</v>
      </c>
      <c r="B81" s="47" t="s">
        <v>65</v>
      </c>
      <c r="C81" s="13">
        <v>1</v>
      </c>
      <c r="D81" s="13" t="s">
        <v>38</v>
      </c>
      <c r="E81" s="14">
        <v>2000000</v>
      </c>
      <c r="F81" s="66" t="str" cm="1">
        <f t="array" ref="F81">NombreEnLettres(E81)</f>
        <v>Deux Million</v>
      </c>
    </row>
    <row r="82" spans="1:6" ht="28.5" x14ac:dyDescent="0.2">
      <c r="A82" s="3">
        <v>803</v>
      </c>
      <c r="B82" s="47" t="s">
        <v>22</v>
      </c>
      <c r="C82" s="13">
        <v>1</v>
      </c>
      <c r="D82" s="13" t="s">
        <v>38</v>
      </c>
      <c r="E82" s="14">
        <v>7500000</v>
      </c>
      <c r="F82" s="68" t="str" cm="1">
        <f t="array" ref="F82">NombreEnLettres(E82)</f>
        <v>Sept Million Cinq Cent Mille</v>
      </c>
    </row>
    <row r="83" spans="1:6" ht="28.5" x14ac:dyDescent="0.2">
      <c r="A83" s="3">
        <v>804</v>
      </c>
      <c r="B83" s="47" t="s">
        <v>64</v>
      </c>
      <c r="C83" s="13">
        <f>18+6+18</f>
        <v>42</v>
      </c>
      <c r="D83" s="13" t="s">
        <v>9</v>
      </c>
      <c r="E83" s="14">
        <v>550000</v>
      </c>
      <c r="F83" s="68" t="str" cm="1">
        <f t="array" ref="F83">NombreEnLettres(E83)</f>
        <v>Cinq Cent Cinquante Mille</v>
      </c>
    </row>
    <row r="84" spans="1:6" ht="28.5" x14ac:dyDescent="0.2">
      <c r="A84" s="3"/>
      <c r="B84" s="47" t="s">
        <v>91</v>
      </c>
      <c r="C84" s="13">
        <f>15*20</f>
        <v>300</v>
      </c>
      <c r="D84" s="13" t="s">
        <v>9</v>
      </c>
      <c r="E84" s="14">
        <v>345000</v>
      </c>
      <c r="F84" s="68" t="str" cm="1">
        <f t="array" ref="F84">NombreEnLettres(E84)</f>
        <v>Trois Cent Quarante-Cinq Mille</v>
      </c>
    </row>
    <row r="85" spans="1:6" ht="28.5" x14ac:dyDescent="0.2">
      <c r="A85" s="3">
        <v>805</v>
      </c>
      <c r="B85" s="47" t="s">
        <v>23</v>
      </c>
      <c r="C85" s="13">
        <f>(18*3*0.4)+(2*4*3*0.25)+5</f>
        <v>32.6</v>
      </c>
      <c r="D85" s="13" t="s">
        <v>38</v>
      </c>
      <c r="E85" s="14">
        <v>450000</v>
      </c>
      <c r="F85" s="68" t="str" cm="1">
        <f t="array" ref="F85">NombreEnLettres(E85)</f>
        <v>Quatre Cent Cinquante Mille</v>
      </c>
    </row>
    <row r="86" spans="1:6" ht="28.5" x14ac:dyDescent="0.2">
      <c r="A86" s="3">
        <v>806</v>
      </c>
      <c r="B86" s="47" t="s">
        <v>25</v>
      </c>
      <c r="C86" s="13">
        <v>1</v>
      </c>
      <c r="D86" s="13" t="s">
        <v>3</v>
      </c>
      <c r="E86" s="14">
        <v>4700000</v>
      </c>
      <c r="F86" s="68" t="str" cm="1">
        <f t="array" ref="F86">NombreEnLettres(E86)</f>
        <v>Quatre Million Sept Cent Mille</v>
      </c>
    </row>
    <row r="87" spans="1:6" ht="28.5" x14ac:dyDescent="0.2">
      <c r="A87" s="3">
        <v>807</v>
      </c>
      <c r="B87" s="47" t="s">
        <v>67</v>
      </c>
      <c r="C87" s="13">
        <v>1</v>
      </c>
      <c r="D87" s="13" t="s">
        <v>3</v>
      </c>
      <c r="E87" s="14">
        <v>4850000</v>
      </c>
      <c r="F87" s="68" t="str" cm="1">
        <f t="array" ref="F87">NombreEnLettres(E87)</f>
        <v>Quatre Million Huit Cent Cinquante Mille</v>
      </c>
    </row>
    <row r="88" spans="1:6" x14ac:dyDescent="0.2">
      <c r="A88" s="3">
        <v>808</v>
      </c>
      <c r="B88" s="48" t="s">
        <v>24</v>
      </c>
      <c r="C88" s="17">
        <v>1</v>
      </c>
      <c r="D88" s="17" t="s">
        <v>3</v>
      </c>
      <c r="E88" s="18">
        <v>12000000</v>
      </c>
      <c r="F88" s="66" t="str" cm="1">
        <f t="array" ref="F88">NombreEnLettres(E88)</f>
        <v>Douze Million</v>
      </c>
    </row>
    <row r="89" spans="1:6" ht="15" x14ac:dyDescent="0.2">
      <c r="A89" s="9"/>
      <c r="B89" s="24" t="s">
        <v>46</v>
      </c>
      <c r="C89" s="24"/>
      <c r="D89" s="24"/>
      <c r="E89" s="25"/>
      <c r="F89" s="25"/>
    </row>
    <row r="90" spans="1:6" ht="15" x14ac:dyDescent="0.2">
      <c r="A90" s="36">
        <v>900</v>
      </c>
      <c r="B90" s="114" t="s">
        <v>26</v>
      </c>
      <c r="C90" s="115"/>
      <c r="D90" s="115"/>
      <c r="E90" s="115"/>
      <c r="F90" s="116"/>
    </row>
    <row r="91" spans="1:6" x14ac:dyDescent="0.2">
      <c r="A91" s="3">
        <v>901</v>
      </c>
      <c r="B91" s="47" t="s">
        <v>63</v>
      </c>
      <c r="C91" s="13">
        <v>1</v>
      </c>
      <c r="D91" s="13" t="s">
        <v>38</v>
      </c>
      <c r="E91" s="14">
        <v>7000000</v>
      </c>
      <c r="F91" s="66" t="str" cm="1">
        <f t="array" ref="F91">NombreEnLettres(E91)</f>
        <v>Sept Million</v>
      </c>
    </row>
    <row r="92" spans="1:6" ht="28.5" x14ac:dyDescent="0.2">
      <c r="A92" s="3">
        <v>902</v>
      </c>
      <c r="B92" s="47" t="s">
        <v>27</v>
      </c>
      <c r="C92" s="13">
        <v>105</v>
      </c>
      <c r="D92" s="13" t="s">
        <v>4</v>
      </c>
      <c r="E92" s="14">
        <v>225000</v>
      </c>
      <c r="F92" s="68" t="str" cm="1">
        <f t="array" ref="F92">NombreEnLettres(E92)</f>
        <v>Deux Cent Vingt-Cinq Mille</v>
      </c>
    </row>
    <row r="93" spans="1:6" ht="28.5" x14ac:dyDescent="0.2">
      <c r="A93" s="3">
        <v>903</v>
      </c>
      <c r="B93" s="48" t="s">
        <v>28</v>
      </c>
      <c r="C93" s="17">
        <v>5</v>
      </c>
      <c r="D93" s="17" t="s">
        <v>38</v>
      </c>
      <c r="E93" s="18">
        <v>350000</v>
      </c>
      <c r="F93" s="68" t="str" cm="1">
        <f t="array" ref="F93">NombreEnLettres(E93)</f>
        <v>Trois Cent Cinquante Mille</v>
      </c>
    </row>
    <row r="94" spans="1:6" ht="15" x14ac:dyDescent="0.2">
      <c r="A94" s="9"/>
      <c r="B94" s="24" t="s">
        <v>47</v>
      </c>
      <c r="C94" s="24"/>
      <c r="D94" s="24"/>
      <c r="E94" s="25"/>
      <c r="F94" s="25"/>
    </row>
    <row r="95" spans="1:6" ht="15" x14ac:dyDescent="0.2">
      <c r="A95" s="36">
        <v>1000</v>
      </c>
      <c r="B95" s="114" t="s">
        <v>30</v>
      </c>
      <c r="C95" s="115"/>
      <c r="D95" s="115"/>
      <c r="E95" s="115"/>
      <c r="F95" s="116"/>
    </row>
    <row r="96" spans="1:6" ht="28.5" x14ac:dyDescent="0.2">
      <c r="A96" s="3">
        <v>1001</v>
      </c>
      <c r="B96" s="47" t="s">
        <v>68</v>
      </c>
      <c r="C96" s="13">
        <v>1013</v>
      </c>
      <c r="D96" s="13" t="s">
        <v>4</v>
      </c>
      <c r="E96" s="14">
        <v>0</v>
      </c>
      <c r="F96" s="14">
        <f>E96*C96</f>
        <v>0</v>
      </c>
    </row>
    <row r="97" spans="1:6" ht="28.5" x14ac:dyDescent="0.2">
      <c r="A97" s="3">
        <v>1002</v>
      </c>
      <c r="B97" s="47" t="s">
        <v>29</v>
      </c>
      <c r="C97" s="13">
        <v>1</v>
      </c>
      <c r="D97" s="13" t="s">
        <v>3</v>
      </c>
      <c r="E97" s="18">
        <v>8000000</v>
      </c>
      <c r="F97" s="66" t="str" cm="1">
        <f t="array" ref="F97">NombreEnLettres(E97)</f>
        <v>Huit Million</v>
      </c>
    </row>
    <row r="98" spans="1:6" ht="28.5" x14ac:dyDescent="0.2">
      <c r="A98" s="3">
        <v>1003</v>
      </c>
      <c r="B98" s="48" t="s">
        <v>82</v>
      </c>
      <c r="C98" s="18">
        <f>C80/20</f>
        <v>52.5</v>
      </c>
      <c r="D98" s="17" t="s">
        <v>38</v>
      </c>
      <c r="E98" s="18">
        <v>448000</v>
      </c>
      <c r="F98" s="68" t="str" cm="1">
        <f t="array" ref="F98">NombreEnLettres(E98)</f>
        <v>Quatre Cent Quarante-Huit Mille</v>
      </c>
    </row>
    <row r="99" spans="1:6" ht="15" x14ac:dyDescent="0.2">
      <c r="A99" s="9"/>
      <c r="B99" s="24" t="s">
        <v>48</v>
      </c>
      <c r="C99" s="24"/>
      <c r="D99" s="24"/>
      <c r="E99" s="25"/>
      <c r="F99" s="25"/>
    </row>
    <row r="100" spans="1:6" ht="15" x14ac:dyDescent="0.2">
      <c r="A100" s="36">
        <v>1100</v>
      </c>
      <c r="B100" s="114" t="s">
        <v>31</v>
      </c>
      <c r="C100" s="115"/>
      <c r="D100" s="115"/>
      <c r="E100" s="115"/>
      <c r="F100" s="116"/>
    </row>
    <row r="101" spans="1:6" ht="28.5" x14ac:dyDescent="0.2">
      <c r="A101" s="3">
        <v>1101</v>
      </c>
      <c r="B101" s="49" t="s">
        <v>69</v>
      </c>
      <c r="C101" s="13">
        <v>1</v>
      </c>
      <c r="D101" s="13" t="s">
        <v>3</v>
      </c>
      <c r="E101" s="14">
        <v>11500000</v>
      </c>
      <c r="F101" s="68" t="str" cm="1">
        <f t="array" ref="F101">NombreEnLettres(E101)</f>
        <v>Onze Million Cinq Cent Mille</v>
      </c>
    </row>
    <row r="102" spans="1:6" ht="28.5" x14ac:dyDescent="0.2">
      <c r="A102" s="3">
        <v>1102</v>
      </c>
      <c r="B102" s="47" t="s">
        <v>70</v>
      </c>
      <c r="C102" s="13">
        <v>1</v>
      </c>
      <c r="D102" s="13" t="s">
        <v>3</v>
      </c>
      <c r="E102" s="14">
        <f>6*4500000</f>
        <v>27000000</v>
      </c>
      <c r="F102" s="66" t="str" cm="1">
        <f t="array" ref="F102">NombreEnLettres(E102)</f>
        <v>Vingt-Sept Million</v>
      </c>
    </row>
    <row r="103" spans="1:6" x14ac:dyDescent="0.2">
      <c r="A103" s="3">
        <v>1103</v>
      </c>
      <c r="B103" s="47" t="s">
        <v>32</v>
      </c>
      <c r="C103" s="13">
        <v>1</v>
      </c>
      <c r="D103" s="13" t="s">
        <v>3</v>
      </c>
      <c r="E103" s="14">
        <v>17000000</v>
      </c>
      <c r="F103" s="66" t="str" cm="1">
        <f t="array" ref="F103">NombreEnLettres(E103)</f>
        <v>Dix-Sept Million</v>
      </c>
    </row>
    <row r="104" spans="1:6" x14ac:dyDescent="0.2">
      <c r="A104" s="3">
        <v>1104</v>
      </c>
      <c r="B104" s="48" t="s">
        <v>34</v>
      </c>
      <c r="C104" s="17">
        <v>12</v>
      </c>
      <c r="D104" s="17" t="s">
        <v>7</v>
      </c>
      <c r="E104" s="18">
        <v>8000000</v>
      </c>
      <c r="F104" s="66" t="str" cm="1">
        <f t="array" ref="F104">NombreEnLettres(E104)</f>
        <v>Huit Million</v>
      </c>
    </row>
    <row r="105" spans="1:6" ht="28.5" x14ac:dyDescent="0.2">
      <c r="A105" s="3">
        <v>1105</v>
      </c>
      <c r="B105" s="47" t="s">
        <v>33</v>
      </c>
      <c r="C105" s="13">
        <v>1</v>
      </c>
      <c r="D105" s="13" t="s">
        <v>3</v>
      </c>
      <c r="E105" s="14">
        <v>7400000</v>
      </c>
      <c r="F105" s="68" t="str" cm="1">
        <f t="array" ref="F105">NombreEnLettres(E105)</f>
        <v>Sept Million Quatre Cent Mille</v>
      </c>
    </row>
    <row r="106" spans="1:6" ht="15" x14ac:dyDescent="0.2">
      <c r="A106" s="9"/>
      <c r="B106" s="24" t="s">
        <v>49</v>
      </c>
      <c r="C106" s="24"/>
      <c r="D106" s="24"/>
      <c r="E106" s="25"/>
      <c r="F106" s="25"/>
    </row>
    <row r="107" spans="1:6" ht="15" x14ac:dyDescent="0.2">
      <c r="A107" s="36">
        <v>1200</v>
      </c>
      <c r="B107" s="114" t="s">
        <v>35</v>
      </c>
      <c r="C107" s="115"/>
      <c r="D107" s="115"/>
      <c r="E107" s="115"/>
      <c r="F107" s="116"/>
    </row>
    <row r="108" spans="1:6" ht="28.5" x14ac:dyDescent="0.2">
      <c r="A108" s="3">
        <v>1201</v>
      </c>
      <c r="B108" s="47" t="s">
        <v>36</v>
      </c>
      <c r="C108" s="13">
        <v>12</v>
      </c>
      <c r="D108" s="3" t="s">
        <v>7</v>
      </c>
      <c r="E108" s="5">
        <f>+(27000000/12)+500000+150000+200000</f>
        <v>3100000</v>
      </c>
      <c r="F108" s="68" t="str" cm="1">
        <f t="array" ref="F108">NombreEnLettres(E108)</f>
        <v>Trois Million Cent Mille</v>
      </c>
    </row>
    <row r="109" spans="1:6" ht="57" x14ac:dyDescent="0.2">
      <c r="A109" s="7">
        <v>1202</v>
      </c>
      <c r="B109" s="48" t="s">
        <v>71</v>
      </c>
      <c r="C109" s="7"/>
      <c r="D109" s="7"/>
      <c r="E109" s="8"/>
      <c r="F109" s="68" t="str" cm="1">
        <f t="array" ref="F109">NombreEnLettres(412015864)</f>
        <v>Quatre Cent Douze Million Quinze Mille Huit Cent Soixante-Quatre</v>
      </c>
    </row>
    <row r="110" spans="1:6" ht="15" x14ac:dyDescent="0.2">
      <c r="A110" s="9"/>
      <c r="B110" s="24" t="s">
        <v>50</v>
      </c>
      <c r="C110" s="24"/>
      <c r="D110" s="24"/>
      <c r="E110" s="27"/>
      <c r="F110" s="25"/>
    </row>
    <row r="111" spans="1:6" ht="15" thickBot="1" x14ac:dyDescent="0.25"/>
    <row r="112" spans="1:6" ht="15.75" x14ac:dyDescent="0.2">
      <c r="B112" s="107" t="s">
        <v>96</v>
      </c>
      <c r="C112" s="108"/>
      <c r="D112" s="108"/>
      <c r="E112" s="108"/>
      <c r="F112" s="37"/>
    </row>
    <row r="113" spans="1:6" ht="15" x14ac:dyDescent="0.2">
      <c r="B113" s="109" t="s">
        <v>51</v>
      </c>
      <c r="C113" s="110"/>
      <c r="D113" s="110"/>
      <c r="E113" s="110"/>
      <c r="F113" s="38"/>
    </row>
    <row r="114" spans="1:6" ht="15" x14ac:dyDescent="0.2">
      <c r="B114" s="109" t="s">
        <v>52</v>
      </c>
      <c r="C114" s="110"/>
      <c r="D114" s="110"/>
      <c r="E114" s="110"/>
      <c r="F114" s="38"/>
    </row>
    <row r="115" spans="1:6" ht="15.75" x14ac:dyDescent="0.2">
      <c r="B115" s="111" t="s">
        <v>97</v>
      </c>
      <c r="C115" s="112"/>
      <c r="D115" s="112"/>
      <c r="E115" s="112"/>
      <c r="F115" s="39"/>
    </row>
    <row r="116" spans="1:6" ht="15" thickBot="1" x14ac:dyDescent="0.25">
      <c r="B116" s="40"/>
      <c r="C116" s="41"/>
      <c r="D116" s="41"/>
      <c r="E116" s="41"/>
      <c r="F116" s="42"/>
    </row>
    <row r="118" spans="1:6" ht="30.75" customHeight="1" x14ac:dyDescent="0.2">
      <c r="A118" s="113"/>
      <c r="B118" s="113"/>
      <c r="C118" s="113"/>
      <c r="D118" s="113"/>
      <c r="E118" s="113"/>
      <c r="F118" s="113"/>
    </row>
    <row r="119" spans="1:6" ht="15" x14ac:dyDescent="0.2">
      <c r="A119" s="43"/>
      <c r="B119" s="43"/>
      <c r="C119" s="43"/>
      <c r="D119" s="43"/>
      <c r="E119" s="43"/>
      <c r="F119" s="43"/>
    </row>
    <row r="121" spans="1:6" x14ac:dyDescent="0.2">
      <c r="A121" s="105"/>
      <c r="B121" s="105"/>
    </row>
    <row r="122" spans="1:6" x14ac:dyDescent="0.2">
      <c r="A122" s="30"/>
      <c r="B122" s="30"/>
    </row>
    <row r="124" spans="1:6" ht="15" x14ac:dyDescent="0.2">
      <c r="A124" s="106"/>
      <c r="B124" s="106"/>
    </row>
    <row r="126" spans="1:6" ht="15" x14ac:dyDescent="0.2">
      <c r="A126" s="106"/>
      <c r="B126" s="106"/>
    </row>
  </sheetData>
  <mergeCells count="29">
    <mergeCell ref="B38:F38"/>
    <mergeCell ref="E8:F8"/>
    <mergeCell ref="E9:F9"/>
    <mergeCell ref="A13:F13"/>
    <mergeCell ref="A15:F15"/>
    <mergeCell ref="B16:F16"/>
    <mergeCell ref="B17:F17"/>
    <mergeCell ref="B18:F18"/>
    <mergeCell ref="A20:F20"/>
    <mergeCell ref="A22:B22"/>
    <mergeCell ref="B25:F25"/>
    <mergeCell ref="B30:F30"/>
    <mergeCell ref="B114:E114"/>
    <mergeCell ref="B43:F43"/>
    <mergeCell ref="B57:F57"/>
    <mergeCell ref="B67:F67"/>
    <mergeCell ref="B73:F73"/>
    <mergeCell ref="B79:F79"/>
    <mergeCell ref="B90:F90"/>
    <mergeCell ref="B95:F95"/>
    <mergeCell ref="B100:F100"/>
    <mergeCell ref="B107:F107"/>
    <mergeCell ref="B112:E112"/>
    <mergeCell ref="B113:E113"/>
    <mergeCell ref="B115:E115"/>
    <mergeCell ref="A118:F118"/>
    <mergeCell ref="A121:B121"/>
    <mergeCell ref="A124:B124"/>
    <mergeCell ref="A126:B126"/>
  </mergeCells>
  <pageMargins left="0.74803149606299213" right="0.74803149606299213" top="0.86614173228346458" bottom="0.98425196850393704" header="0.51181102362204722" footer="0.51181102362204722"/>
  <pageSetup paperSize="9" scale="62" orientation="portrait" verticalDpi="300" r:id="rId1"/>
  <headerFooter>
    <oddFooter>&amp;L&amp;G&amp;R&amp;G</oddFooter>
  </headerFooter>
  <rowBreaks count="2" manualBreakCount="2">
    <brk id="56" max="5" man="1"/>
    <brk id="99" max="5" man="1"/>
  </rowBreaks>
  <colBreaks count="1" manualBreakCount="1">
    <brk id="6" max="1048575" man="1"/>
  </colBreaks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E97F4-6AC2-4992-8033-2F39CB069335}">
  <sheetPr codeName="Feuil4"/>
  <dimension ref="A2:I125"/>
  <sheetViews>
    <sheetView view="pageBreakPreview" zoomScaleNormal="100" zoomScaleSheetLayoutView="100" workbookViewId="0">
      <selection activeCell="M93" sqref="M93"/>
    </sheetView>
  </sheetViews>
  <sheetFormatPr baseColWidth="10" defaultColWidth="9.140625" defaultRowHeight="14.25" x14ac:dyDescent="0.2"/>
  <cols>
    <col min="1" max="1" width="9.85546875" style="2" customWidth="1"/>
    <col min="2" max="2" width="56.85546875" style="1" customWidth="1"/>
    <col min="3" max="3" width="11.140625" style="2" customWidth="1"/>
    <col min="4" max="6" width="11.7109375" style="2" customWidth="1"/>
    <col min="7" max="7" width="14.42578125" style="2" customWidth="1"/>
    <col min="8" max="8" width="15.5703125" style="2" customWidth="1"/>
    <col min="9" max="9" width="18" style="2" customWidth="1"/>
    <col min="10" max="16384" width="9.140625" style="1"/>
  </cols>
  <sheetData>
    <row r="2" spans="1:9" x14ac:dyDescent="0.2">
      <c r="A2" s="31"/>
      <c r="B2" s="31"/>
    </row>
    <row r="3" spans="1:9" x14ac:dyDescent="0.2">
      <c r="A3" s="31"/>
      <c r="B3" s="31"/>
    </row>
    <row r="4" spans="1:9" x14ac:dyDescent="0.2">
      <c r="A4" s="31"/>
      <c r="B4" s="31"/>
    </row>
    <row r="5" spans="1:9" x14ac:dyDescent="0.2">
      <c r="A5" s="31"/>
      <c r="B5" s="31"/>
    </row>
    <row r="6" spans="1:9" x14ac:dyDescent="0.2">
      <c r="A6" s="31"/>
      <c r="B6" s="31"/>
    </row>
    <row r="7" spans="1:9" x14ac:dyDescent="0.2">
      <c r="A7" s="31"/>
      <c r="B7" s="31"/>
    </row>
    <row r="8" spans="1:9" x14ac:dyDescent="0.2">
      <c r="A8" s="31"/>
      <c r="B8" s="31"/>
      <c r="C8" s="31"/>
      <c r="D8" s="32"/>
      <c r="E8" s="32"/>
      <c r="F8" s="32"/>
      <c r="G8" s="32"/>
      <c r="H8" s="93"/>
      <c r="I8" s="93"/>
    </row>
    <row r="9" spans="1:9" x14ac:dyDescent="0.2">
      <c r="A9" s="31"/>
      <c r="B9" s="31"/>
      <c r="H9" s="94"/>
      <c r="I9" s="94"/>
    </row>
    <row r="12" spans="1:9" ht="15" thickBot="1" x14ac:dyDescent="0.25"/>
    <row r="13" spans="1:9" ht="23.25" x14ac:dyDescent="0.2">
      <c r="A13" s="117" t="s">
        <v>94</v>
      </c>
      <c r="B13" s="118"/>
      <c r="C13" s="118"/>
      <c r="D13" s="118"/>
      <c r="E13" s="118"/>
      <c r="F13" s="118"/>
      <c r="G13" s="118"/>
      <c r="H13" s="118"/>
      <c r="I13" s="119"/>
    </row>
    <row r="14" spans="1:9" ht="20.25" x14ac:dyDescent="0.2">
      <c r="A14" s="120" t="s">
        <v>53</v>
      </c>
      <c r="B14" s="98"/>
      <c r="C14" s="98"/>
      <c r="D14" s="98"/>
      <c r="E14" s="98"/>
      <c r="F14" s="98"/>
      <c r="G14" s="98"/>
      <c r="H14" s="98"/>
      <c r="I14" s="121"/>
    </row>
    <row r="15" spans="1:9" ht="20.25" x14ac:dyDescent="0.2">
      <c r="A15" s="28"/>
      <c r="B15" s="99" t="s">
        <v>93</v>
      </c>
      <c r="C15" s="99"/>
      <c r="D15" s="99"/>
      <c r="E15" s="99"/>
      <c r="F15" s="99"/>
      <c r="G15" s="99"/>
      <c r="H15" s="99"/>
      <c r="I15" s="122"/>
    </row>
    <row r="16" spans="1:9" ht="20.25" x14ac:dyDescent="0.2">
      <c r="A16" s="28"/>
      <c r="B16" s="99" t="s">
        <v>92</v>
      </c>
      <c r="C16" s="99"/>
      <c r="D16" s="99"/>
      <c r="E16" s="99"/>
      <c r="F16" s="99"/>
      <c r="G16" s="99"/>
      <c r="H16" s="99"/>
      <c r="I16" s="122"/>
    </row>
    <row r="17" spans="1:9" ht="21" thickBot="1" x14ac:dyDescent="0.25">
      <c r="A17" s="29"/>
      <c r="B17" s="123" t="s">
        <v>90</v>
      </c>
      <c r="C17" s="123"/>
      <c r="D17" s="123"/>
      <c r="E17" s="123"/>
      <c r="F17" s="123"/>
      <c r="G17" s="123"/>
      <c r="H17" s="123"/>
      <c r="I17" s="124"/>
    </row>
    <row r="19" spans="1:9" ht="20.25" x14ac:dyDescent="0.2">
      <c r="A19" s="100" t="s">
        <v>113</v>
      </c>
      <c r="B19" s="99"/>
      <c r="C19" s="99"/>
      <c r="D19" s="99"/>
      <c r="E19" s="99"/>
      <c r="F19" s="99"/>
      <c r="G19" s="99"/>
      <c r="H19" s="99"/>
      <c r="I19" s="99"/>
    </row>
    <row r="20" spans="1:9" ht="20.25" x14ac:dyDescent="0.2">
      <c r="A20" s="51"/>
      <c r="B20" s="6"/>
      <c r="C20" s="6"/>
      <c r="D20" s="6"/>
      <c r="E20" s="6"/>
      <c r="F20" s="6"/>
      <c r="G20" s="6"/>
      <c r="H20" s="6"/>
      <c r="I20" s="6"/>
    </row>
    <row r="21" spans="1:9" ht="14.1" customHeight="1" x14ac:dyDescent="0.2">
      <c r="A21" s="101" t="s">
        <v>106</v>
      </c>
      <c r="B21" s="101"/>
      <c r="C21" s="6"/>
      <c r="D21" s="6"/>
      <c r="E21" s="6"/>
      <c r="F21" s="6"/>
      <c r="G21" s="6"/>
      <c r="H21" s="6"/>
      <c r="I21" s="6"/>
    </row>
    <row r="23" spans="1:9" ht="15" x14ac:dyDescent="0.25">
      <c r="A23" s="52" t="s">
        <v>105</v>
      </c>
      <c r="B23" s="53" t="s">
        <v>104</v>
      </c>
      <c r="C23" s="33" t="s">
        <v>0</v>
      </c>
      <c r="D23" s="33" t="s">
        <v>1</v>
      </c>
      <c r="E23" s="33" t="s">
        <v>114</v>
      </c>
      <c r="F23" s="33" t="s">
        <v>115</v>
      </c>
      <c r="G23" s="33" t="s">
        <v>116</v>
      </c>
      <c r="H23" s="33" t="s">
        <v>95</v>
      </c>
      <c r="I23" s="33" t="s">
        <v>2</v>
      </c>
    </row>
    <row r="24" spans="1:9" ht="15" x14ac:dyDescent="0.2">
      <c r="A24" s="34">
        <v>100</v>
      </c>
      <c r="B24" s="114" t="s">
        <v>10</v>
      </c>
      <c r="C24" s="115"/>
      <c r="D24" s="115"/>
      <c r="E24" s="115"/>
      <c r="F24" s="115"/>
      <c r="G24" s="115"/>
      <c r="H24" s="115"/>
      <c r="I24" s="116"/>
    </row>
    <row r="25" spans="1:9" ht="28.5" x14ac:dyDescent="0.2">
      <c r="A25" s="3">
        <v>101</v>
      </c>
      <c r="B25" s="44" t="s">
        <v>54</v>
      </c>
      <c r="C25" s="10">
        <v>1</v>
      </c>
      <c r="D25" s="10" t="s">
        <v>3</v>
      </c>
      <c r="E25" s="65">
        <f>H25*0.65</f>
        <v>97500000</v>
      </c>
      <c r="F25" s="65">
        <f>H25*0.1</f>
        <v>15000000</v>
      </c>
      <c r="G25" s="65">
        <f>H25*0.25</f>
        <v>37500000</v>
      </c>
      <c r="H25" s="11">
        <v>150000000</v>
      </c>
      <c r="I25" s="11">
        <f>C25*H25</f>
        <v>150000000</v>
      </c>
    </row>
    <row r="26" spans="1:9" x14ac:dyDescent="0.2">
      <c r="A26" s="3">
        <v>103</v>
      </c>
      <c r="B26" s="47" t="s">
        <v>11</v>
      </c>
      <c r="C26" s="3">
        <v>1</v>
      </c>
      <c r="D26" s="3" t="s">
        <v>3</v>
      </c>
      <c r="E26" s="65">
        <f t="shared" ref="E26:E27" si="0">H26*0.65</f>
        <v>4875000</v>
      </c>
      <c r="F26" s="65">
        <f t="shared" ref="F26:F27" si="1">H26*0.1</f>
        <v>750000</v>
      </c>
      <c r="G26" s="65">
        <f t="shared" ref="G26:G27" si="2">H26*0.25</f>
        <v>1875000</v>
      </c>
      <c r="H26" s="5">
        <v>7500000</v>
      </c>
      <c r="I26" s="5">
        <f t="shared" ref="I26:I27" si="3">C26*H26</f>
        <v>7500000</v>
      </c>
    </row>
    <row r="27" spans="1:9" ht="28.5" x14ac:dyDescent="0.2">
      <c r="A27" s="7">
        <v>104</v>
      </c>
      <c r="B27" s="48" t="s">
        <v>37</v>
      </c>
      <c r="C27" s="7">
        <v>1</v>
      </c>
      <c r="D27" s="7" t="s">
        <v>3</v>
      </c>
      <c r="E27" s="65">
        <f t="shared" si="0"/>
        <v>4225000</v>
      </c>
      <c r="F27" s="65">
        <f t="shared" si="1"/>
        <v>650000</v>
      </c>
      <c r="G27" s="65">
        <f t="shared" si="2"/>
        <v>1625000</v>
      </c>
      <c r="H27" s="8">
        <v>6500000</v>
      </c>
      <c r="I27" s="5">
        <f t="shared" si="3"/>
        <v>6500000</v>
      </c>
    </row>
    <row r="28" spans="1:9" ht="15" x14ac:dyDescent="0.2">
      <c r="A28" s="9"/>
      <c r="B28" s="19" t="s">
        <v>39</v>
      </c>
      <c r="C28" s="19"/>
      <c r="D28" s="19"/>
      <c r="E28" s="19"/>
      <c r="F28" s="19"/>
      <c r="G28" s="19"/>
      <c r="H28" s="20"/>
      <c r="I28" s="20">
        <f>SUM(I25:I27)</f>
        <v>164000000</v>
      </c>
    </row>
    <row r="29" spans="1:9" ht="15" x14ac:dyDescent="0.2">
      <c r="A29" s="35">
        <v>200</v>
      </c>
      <c r="B29" s="114" t="s">
        <v>15</v>
      </c>
      <c r="C29" s="115"/>
      <c r="D29" s="115"/>
      <c r="E29" s="115"/>
      <c r="F29" s="115"/>
      <c r="G29" s="115"/>
      <c r="H29" s="115"/>
      <c r="I29" s="116"/>
    </row>
    <row r="30" spans="1:9" x14ac:dyDescent="0.2">
      <c r="A30" s="3">
        <v>201</v>
      </c>
      <c r="B30" s="44" t="s">
        <v>55</v>
      </c>
      <c r="C30" s="21">
        <f>(75000+(1013*12))/10000</f>
        <v>8.7156000000000002</v>
      </c>
      <c r="D30" s="15" t="s">
        <v>57</v>
      </c>
      <c r="E30" s="65">
        <f>H30*0.65</f>
        <v>1137500</v>
      </c>
      <c r="F30" s="65">
        <f>H30*0.1</f>
        <v>175000</v>
      </c>
      <c r="G30" s="65">
        <f>H30*0.25</f>
        <v>437500</v>
      </c>
      <c r="H30" s="16">
        <v>1750000</v>
      </c>
      <c r="I30" s="16">
        <f>C30*H30</f>
        <v>15252300</v>
      </c>
    </row>
    <row r="31" spans="1:9" x14ac:dyDescent="0.2">
      <c r="A31" s="3">
        <v>202</v>
      </c>
      <c r="B31" s="47" t="s">
        <v>56</v>
      </c>
      <c r="C31" s="13">
        <v>1</v>
      </c>
      <c r="D31" s="13" t="s">
        <v>38</v>
      </c>
      <c r="E31" s="65">
        <f t="shared" ref="E31:E35" si="4">H31*0.65</f>
        <v>42250000</v>
      </c>
      <c r="F31" s="65">
        <f t="shared" ref="F31:F35" si="5">H31*0.1</f>
        <v>6500000</v>
      </c>
      <c r="G31" s="65">
        <f t="shared" ref="G31:G35" si="6">H31*0.25</f>
        <v>16250000</v>
      </c>
      <c r="H31" s="14">
        <v>65000000</v>
      </c>
      <c r="I31" s="14">
        <f t="shared" ref="I31:I35" si="7">C31*H31</f>
        <v>65000000</v>
      </c>
    </row>
    <row r="32" spans="1:9" x14ac:dyDescent="0.2">
      <c r="A32" s="3">
        <v>203</v>
      </c>
      <c r="B32" s="47" t="s">
        <v>6</v>
      </c>
      <c r="C32" s="13">
        <v>1</v>
      </c>
      <c r="D32" s="13" t="s">
        <v>38</v>
      </c>
      <c r="E32" s="65">
        <f t="shared" si="4"/>
        <v>20800000</v>
      </c>
      <c r="F32" s="65">
        <f t="shared" si="5"/>
        <v>3200000</v>
      </c>
      <c r="G32" s="65">
        <f t="shared" si="6"/>
        <v>8000000</v>
      </c>
      <c r="H32" s="14">
        <v>32000000</v>
      </c>
      <c r="I32" s="14">
        <f t="shared" si="7"/>
        <v>32000000</v>
      </c>
    </row>
    <row r="33" spans="1:9" x14ac:dyDescent="0.2">
      <c r="A33" s="3">
        <v>204</v>
      </c>
      <c r="B33" s="47" t="s">
        <v>5</v>
      </c>
      <c r="C33" s="13">
        <v>1</v>
      </c>
      <c r="D33" s="13" t="s">
        <v>38</v>
      </c>
      <c r="E33" s="65">
        <f t="shared" si="4"/>
        <v>20800000</v>
      </c>
      <c r="F33" s="65">
        <f t="shared" si="5"/>
        <v>3200000</v>
      </c>
      <c r="G33" s="65">
        <f t="shared" si="6"/>
        <v>8000000</v>
      </c>
      <c r="H33" s="14">
        <v>32000000</v>
      </c>
      <c r="I33" s="14">
        <f t="shared" si="7"/>
        <v>32000000</v>
      </c>
    </row>
    <row r="34" spans="1:9" ht="14.25" customHeight="1" x14ac:dyDescent="0.2">
      <c r="A34" s="3">
        <v>205</v>
      </c>
      <c r="B34" s="47" t="s">
        <v>12</v>
      </c>
      <c r="C34" s="13">
        <v>1</v>
      </c>
      <c r="D34" s="13" t="s">
        <v>38</v>
      </c>
      <c r="E34" s="65">
        <f t="shared" si="4"/>
        <v>30550000</v>
      </c>
      <c r="F34" s="65">
        <f t="shared" si="5"/>
        <v>4700000</v>
      </c>
      <c r="G34" s="65">
        <f t="shared" si="6"/>
        <v>11750000</v>
      </c>
      <c r="H34" s="14">
        <v>47000000</v>
      </c>
      <c r="I34" s="14">
        <f t="shared" si="7"/>
        <v>47000000</v>
      </c>
    </row>
    <row r="35" spans="1:9" x14ac:dyDescent="0.2">
      <c r="A35" s="3">
        <v>206</v>
      </c>
      <c r="B35" s="47" t="s">
        <v>13</v>
      </c>
      <c r="C35" s="13">
        <v>1</v>
      </c>
      <c r="D35" s="13" t="s">
        <v>38</v>
      </c>
      <c r="E35" s="65">
        <f t="shared" si="4"/>
        <v>4225000</v>
      </c>
      <c r="F35" s="65">
        <f t="shared" si="5"/>
        <v>650000</v>
      </c>
      <c r="G35" s="65">
        <f t="shared" si="6"/>
        <v>1625000</v>
      </c>
      <c r="H35" s="14">
        <v>6500000</v>
      </c>
      <c r="I35" s="14">
        <f t="shared" si="7"/>
        <v>6500000</v>
      </c>
    </row>
    <row r="36" spans="1:9" ht="15" x14ac:dyDescent="0.2">
      <c r="A36" s="9"/>
      <c r="B36" s="19" t="s">
        <v>40</v>
      </c>
      <c r="C36" s="19"/>
      <c r="D36" s="19"/>
      <c r="E36" s="19"/>
      <c r="F36" s="19"/>
      <c r="G36" s="19"/>
      <c r="H36" s="20"/>
      <c r="I36" s="20">
        <f>SUM(I30:I35)</f>
        <v>197752300</v>
      </c>
    </row>
    <row r="37" spans="1:9" ht="16.5" customHeight="1" x14ac:dyDescent="0.2">
      <c r="A37" s="35">
        <v>300</v>
      </c>
      <c r="B37" s="114" t="s">
        <v>75</v>
      </c>
      <c r="C37" s="115"/>
      <c r="D37" s="115"/>
      <c r="E37" s="115"/>
      <c r="F37" s="115"/>
      <c r="G37" s="115"/>
      <c r="H37" s="115"/>
      <c r="I37" s="116"/>
    </row>
    <row r="38" spans="1:9" ht="28.5" x14ac:dyDescent="0.2">
      <c r="A38" s="10">
        <v>301</v>
      </c>
      <c r="B38" s="44" t="s">
        <v>72</v>
      </c>
      <c r="C38" s="16">
        <v>40000</v>
      </c>
      <c r="D38" s="15" t="s">
        <v>9</v>
      </c>
      <c r="E38" s="65">
        <f>H38*0.65</f>
        <v>1709.5</v>
      </c>
      <c r="F38" s="65">
        <f>H38*0.1</f>
        <v>263</v>
      </c>
      <c r="G38" s="65">
        <f>H38*0.25</f>
        <v>657.5</v>
      </c>
      <c r="H38" s="16">
        <f>780+1850</f>
        <v>2630</v>
      </c>
      <c r="I38" s="16">
        <f>H38*C38</f>
        <v>105200000</v>
      </c>
    </row>
    <row r="39" spans="1:9" ht="28.5" x14ac:dyDescent="0.2">
      <c r="A39" s="10">
        <v>302</v>
      </c>
      <c r="B39" s="45" t="s">
        <v>73</v>
      </c>
      <c r="C39" s="16">
        <f>5*7*200*0.3</f>
        <v>2100</v>
      </c>
      <c r="D39" s="13" t="s">
        <v>89</v>
      </c>
      <c r="E39" s="65">
        <f t="shared" ref="E39:E40" si="8">H39*0.65</f>
        <v>18252</v>
      </c>
      <c r="F39" s="65">
        <f t="shared" ref="F39:F40" si="9">H39*0.1</f>
        <v>2808</v>
      </c>
      <c r="G39" s="65">
        <f t="shared" ref="G39:G40" si="10">H39*0.25</f>
        <v>7020</v>
      </c>
      <c r="H39" s="16">
        <v>28080</v>
      </c>
      <c r="I39" s="16">
        <f t="shared" ref="I39:I40" si="11">H39*C39</f>
        <v>58968000</v>
      </c>
    </row>
    <row r="40" spans="1:9" ht="28.5" x14ac:dyDescent="0.2">
      <c r="A40" s="12">
        <v>302</v>
      </c>
      <c r="B40" s="46" t="s">
        <v>74</v>
      </c>
      <c r="C40" s="22">
        <v>1</v>
      </c>
      <c r="D40" s="17" t="s">
        <v>3</v>
      </c>
      <c r="E40" s="65">
        <f t="shared" si="8"/>
        <v>4550000</v>
      </c>
      <c r="F40" s="65">
        <f t="shared" si="9"/>
        <v>700000</v>
      </c>
      <c r="G40" s="65">
        <f t="shared" si="10"/>
        <v>1750000</v>
      </c>
      <c r="H40" s="23">
        <v>7000000</v>
      </c>
      <c r="I40" s="16">
        <f t="shared" si="11"/>
        <v>7000000</v>
      </c>
    </row>
    <row r="41" spans="1:9" ht="15" x14ac:dyDescent="0.2">
      <c r="A41" s="9"/>
      <c r="B41" s="19" t="s">
        <v>41</v>
      </c>
      <c r="C41" s="19"/>
      <c r="D41" s="19"/>
      <c r="E41" s="19"/>
      <c r="F41" s="19"/>
      <c r="G41" s="19"/>
      <c r="H41" s="20"/>
      <c r="I41" s="20">
        <f>SUM(I38:I40)</f>
        <v>171168000</v>
      </c>
    </row>
    <row r="42" spans="1:9" ht="15" x14ac:dyDescent="0.2">
      <c r="A42" s="35">
        <v>400</v>
      </c>
      <c r="B42" s="114" t="s">
        <v>14</v>
      </c>
      <c r="C42" s="115"/>
      <c r="D42" s="115"/>
      <c r="E42" s="115"/>
      <c r="F42" s="115"/>
      <c r="G42" s="115"/>
      <c r="H42" s="115"/>
      <c r="I42" s="116"/>
    </row>
    <row r="43" spans="1:9" ht="28.5" x14ac:dyDescent="0.2">
      <c r="A43" s="3">
        <v>401</v>
      </c>
      <c r="B43" s="44" t="s">
        <v>16</v>
      </c>
      <c r="C43" s="16">
        <v>45000</v>
      </c>
      <c r="D43" s="15" t="s">
        <v>9</v>
      </c>
      <c r="E43" s="65">
        <f>H43*0.65</f>
        <v>1709.5</v>
      </c>
      <c r="F43" s="65">
        <f>H43*0.1</f>
        <v>263</v>
      </c>
      <c r="G43" s="65">
        <f>H43*0.25</f>
        <v>657.5</v>
      </c>
      <c r="H43" s="16">
        <f>780+1850</f>
        <v>2630</v>
      </c>
      <c r="I43" s="16">
        <f>C43*H43</f>
        <v>118350000</v>
      </c>
    </row>
    <row r="44" spans="1:9" ht="16.5" x14ac:dyDescent="0.2">
      <c r="A44" s="3">
        <v>402</v>
      </c>
      <c r="B44" s="47" t="s">
        <v>17</v>
      </c>
      <c r="C44" s="14">
        <f>523000*0.6</f>
        <v>313800</v>
      </c>
      <c r="D44" s="13" t="s">
        <v>89</v>
      </c>
      <c r="E44" s="65">
        <f t="shared" ref="E44:E54" si="12">H44*0.65</f>
        <v>1397.5</v>
      </c>
      <c r="F44" s="65">
        <f t="shared" ref="F44:F54" si="13">H44*0.1</f>
        <v>215</v>
      </c>
      <c r="G44" s="65">
        <f t="shared" ref="G44:G54" si="14">H44*0.25</f>
        <v>537.5</v>
      </c>
      <c r="H44" s="14">
        <v>2150</v>
      </c>
      <c r="I44" s="14">
        <f t="shared" ref="I44:I54" si="15">C44*H44</f>
        <v>674670000</v>
      </c>
    </row>
    <row r="45" spans="1:9" ht="28.5" x14ac:dyDescent="0.2">
      <c r="A45" s="3">
        <v>403</v>
      </c>
      <c r="B45" s="47" t="s">
        <v>79</v>
      </c>
      <c r="C45" s="14">
        <f>55300*0.1</f>
        <v>5530</v>
      </c>
      <c r="D45" s="13" t="s">
        <v>89</v>
      </c>
      <c r="E45" s="65">
        <f t="shared" si="12"/>
        <v>2340</v>
      </c>
      <c r="F45" s="65">
        <f t="shared" si="13"/>
        <v>360</v>
      </c>
      <c r="G45" s="65">
        <f t="shared" si="14"/>
        <v>900</v>
      </c>
      <c r="H45" s="14">
        <v>3600</v>
      </c>
      <c r="I45" s="14">
        <f t="shared" si="15"/>
        <v>19908000</v>
      </c>
    </row>
    <row r="46" spans="1:9" x14ac:dyDescent="0.2">
      <c r="A46" s="3">
        <v>404</v>
      </c>
      <c r="B46" s="47" t="s">
        <v>58</v>
      </c>
      <c r="C46" s="14">
        <f>8173+3607+1064</f>
        <v>12844</v>
      </c>
      <c r="D46" s="13" t="s">
        <v>9</v>
      </c>
      <c r="E46" s="65">
        <f t="shared" si="12"/>
        <v>1426.75</v>
      </c>
      <c r="F46" s="65">
        <f t="shared" si="13"/>
        <v>219.5</v>
      </c>
      <c r="G46" s="65">
        <f t="shared" si="14"/>
        <v>548.75</v>
      </c>
      <c r="H46" s="14">
        <v>2195</v>
      </c>
      <c r="I46" s="14">
        <f t="shared" si="15"/>
        <v>28192580</v>
      </c>
    </row>
    <row r="47" spans="1:9" ht="28.5" x14ac:dyDescent="0.2">
      <c r="A47" s="3">
        <v>405</v>
      </c>
      <c r="B47" s="47" t="s">
        <v>59</v>
      </c>
      <c r="C47" s="14">
        <f>(8173+3607+1064)</f>
        <v>12844</v>
      </c>
      <c r="D47" s="13" t="s">
        <v>89</v>
      </c>
      <c r="E47" s="65">
        <f t="shared" si="12"/>
        <v>9576.4500000000007</v>
      </c>
      <c r="F47" s="65">
        <f t="shared" si="13"/>
        <v>1473.3000000000002</v>
      </c>
      <c r="G47" s="65">
        <f t="shared" si="14"/>
        <v>3683.25</v>
      </c>
      <c r="H47" s="14">
        <v>14733</v>
      </c>
      <c r="I47" s="14">
        <f t="shared" si="15"/>
        <v>189230652</v>
      </c>
    </row>
    <row r="48" spans="1:9" ht="28.5" x14ac:dyDescent="0.2">
      <c r="A48" s="3">
        <v>406</v>
      </c>
      <c r="B48" s="47" t="s">
        <v>84</v>
      </c>
      <c r="C48" s="14">
        <f>(8173+3607+1064+20304)*1.2</f>
        <v>39777.599999999999</v>
      </c>
      <c r="D48" s="13" t="s">
        <v>9</v>
      </c>
      <c r="E48" s="65">
        <f t="shared" si="12"/>
        <v>3687.84</v>
      </c>
      <c r="F48" s="65">
        <f t="shared" si="13"/>
        <v>567.36</v>
      </c>
      <c r="G48" s="65">
        <f t="shared" si="14"/>
        <v>1418.4</v>
      </c>
      <c r="H48" s="14">
        <f>((4*656)*1.4)+2000</f>
        <v>5673.6</v>
      </c>
      <c r="I48" s="14">
        <f>C48*H48</f>
        <v>225682191.36000001</v>
      </c>
    </row>
    <row r="49" spans="1:9" ht="28.5" x14ac:dyDescent="0.2">
      <c r="A49" s="3">
        <v>407</v>
      </c>
      <c r="B49" s="47" t="s">
        <v>85</v>
      </c>
      <c r="C49" s="14">
        <f>C48</f>
        <v>39777.599999999999</v>
      </c>
      <c r="D49" s="13" t="s">
        <v>9</v>
      </c>
      <c r="E49" s="65">
        <f t="shared" si="12"/>
        <v>3986.32</v>
      </c>
      <c r="F49" s="65">
        <f t="shared" si="13"/>
        <v>613.28000000000009</v>
      </c>
      <c r="G49" s="65">
        <f t="shared" si="14"/>
        <v>1533.2</v>
      </c>
      <c r="H49" s="14">
        <f>((4.5*656)*1.4)+2000</f>
        <v>6132.8</v>
      </c>
      <c r="I49" s="14">
        <f>C49*H49</f>
        <v>243948065.28</v>
      </c>
    </row>
    <row r="50" spans="1:9" ht="28.5" x14ac:dyDescent="0.2">
      <c r="A50" s="3">
        <v>408</v>
      </c>
      <c r="B50" s="47" t="s">
        <v>86</v>
      </c>
      <c r="C50" s="14">
        <f>C49</f>
        <v>39777.599999999999</v>
      </c>
      <c r="D50" s="13" t="s">
        <v>9</v>
      </c>
      <c r="E50" s="65">
        <f t="shared" si="12"/>
        <v>1287</v>
      </c>
      <c r="F50" s="65">
        <f t="shared" si="13"/>
        <v>198</v>
      </c>
      <c r="G50" s="65">
        <f t="shared" si="14"/>
        <v>495</v>
      </c>
      <c r="H50" s="14">
        <v>1980</v>
      </c>
      <c r="I50" s="14">
        <f>+H50*C50</f>
        <v>78759648</v>
      </c>
    </row>
    <row r="51" spans="1:9" x14ac:dyDescent="0.2">
      <c r="A51" s="3">
        <v>409</v>
      </c>
      <c r="B51" s="47" t="s">
        <v>60</v>
      </c>
      <c r="C51" s="14">
        <v>635</v>
      </c>
      <c r="D51" s="13" t="s">
        <v>4</v>
      </c>
      <c r="E51" s="65">
        <f t="shared" si="12"/>
        <v>55250</v>
      </c>
      <c r="F51" s="65">
        <f t="shared" si="13"/>
        <v>8500</v>
      </c>
      <c r="G51" s="65">
        <f t="shared" si="14"/>
        <v>21250</v>
      </c>
      <c r="H51" s="14">
        <v>85000</v>
      </c>
      <c r="I51" s="14">
        <f t="shared" si="15"/>
        <v>53975000</v>
      </c>
    </row>
    <row r="52" spans="1:9" x14ac:dyDescent="0.2">
      <c r="A52" s="3">
        <v>410</v>
      </c>
      <c r="B52" s="47" t="s">
        <v>18</v>
      </c>
      <c r="C52" s="14">
        <v>3</v>
      </c>
      <c r="D52" s="13" t="s">
        <v>38</v>
      </c>
      <c r="E52" s="65">
        <f t="shared" si="12"/>
        <v>2925000</v>
      </c>
      <c r="F52" s="65">
        <f t="shared" si="13"/>
        <v>450000</v>
      </c>
      <c r="G52" s="65">
        <f t="shared" si="14"/>
        <v>1125000</v>
      </c>
      <c r="H52" s="14">
        <v>4500000</v>
      </c>
      <c r="I52" s="14">
        <f t="shared" si="15"/>
        <v>13500000</v>
      </c>
    </row>
    <row r="53" spans="1:9" x14ac:dyDescent="0.2">
      <c r="A53" s="3">
        <v>411</v>
      </c>
      <c r="B53" s="47" t="s">
        <v>87</v>
      </c>
      <c r="C53" s="14">
        <v>3</v>
      </c>
      <c r="D53" s="13" t="s">
        <v>38</v>
      </c>
      <c r="E53" s="65">
        <f t="shared" si="12"/>
        <v>4875000</v>
      </c>
      <c r="F53" s="65">
        <f t="shared" si="13"/>
        <v>750000</v>
      </c>
      <c r="G53" s="65">
        <f t="shared" si="14"/>
        <v>1875000</v>
      </c>
      <c r="H53" s="14">
        <v>7500000</v>
      </c>
      <c r="I53" s="14">
        <f t="shared" si="15"/>
        <v>22500000</v>
      </c>
    </row>
    <row r="54" spans="1:9" ht="15" customHeight="1" x14ac:dyDescent="0.2">
      <c r="A54" s="3">
        <v>412</v>
      </c>
      <c r="B54" s="47" t="s">
        <v>76</v>
      </c>
      <c r="C54" s="14">
        <f>(8173+3607+1064)*0.3</f>
        <v>3853.2</v>
      </c>
      <c r="D54" s="13" t="s">
        <v>89</v>
      </c>
      <c r="E54" s="65">
        <f t="shared" si="12"/>
        <v>13000</v>
      </c>
      <c r="F54" s="65">
        <f t="shared" si="13"/>
        <v>2000</v>
      </c>
      <c r="G54" s="65">
        <f t="shared" si="14"/>
        <v>5000</v>
      </c>
      <c r="H54" s="14">
        <v>20000</v>
      </c>
      <c r="I54" s="14">
        <f t="shared" si="15"/>
        <v>77064000</v>
      </c>
    </row>
    <row r="55" spans="1:9" ht="15" x14ac:dyDescent="0.2">
      <c r="A55" s="9"/>
      <c r="B55" s="24" t="s">
        <v>42</v>
      </c>
      <c r="C55" s="24"/>
      <c r="D55" s="24"/>
      <c r="E55" s="24"/>
      <c r="F55" s="24"/>
      <c r="G55" s="24"/>
      <c r="H55" s="25"/>
      <c r="I55" s="25">
        <f>SUM(I43:I54)</f>
        <v>1745780136.6400001</v>
      </c>
    </row>
    <row r="56" spans="1:9" ht="15" x14ac:dyDescent="0.2">
      <c r="A56" s="36">
        <v>500</v>
      </c>
      <c r="B56" s="114" t="s">
        <v>19</v>
      </c>
      <c r="C56" s="115"/>
      <c r="D56" s="115"/>
      <c r="E56" s="115"/>
      <c r="F56" s="115"/>
      <c r="G56" s="115"/>
      <c r="H56" s="115"/>
      <c r="I56" s="116"/>
    </row>
    <row r="57" spans="1:9" ht="28.5" x14ac:dyDescent="0.2">
      <c r="A57" s="3">
        <v>501</v>
      </c>
      <c r="B57" s="47" t="s">
        <v>16</v>
      </c>
      <c r="C57" s="14">
        <v>15000</v>
      </c>
      <c r="D57" s="13" t="s">
        <v>9</v>
      </c>
      <c r="E57" s="66">
        <f>H57*0.65</f>
        <v>1709.5</v>
      </c>
      <c r="F57" s="66">
        <f>H57*0.1</f>
        <v>263</v>
      </c>
      <c r="G57" s="66">
        <f>H57*0.25</f>
        <v>657.5</v>
      </c>
      <c r="H57" s="14">
        <f>780+1850</f>
        <v>2630</v>
      </c>
      <c r="I57" s="14">
        <f>C57*H57</f>
        <v>39450000</v>
      </c>
    </row>
    <row r="58" spans="1:9" ht="16.5" x14ac:dyDescent="0.2">
      <c r="A58" s="3">
        <v>502</v>
      </c>
      <c r="B58" s="47" t="s">
        <v>17</v>
      </c>
      <c r="C58" s="14">
        <f>523000*0.25</f>
        <v>130750</v>
      </c>
      <c r="D58" s="13" t="s">
        <v>89</v>
      </c>
      <c r="E58" s="66">
        <f t="shared" ref="E58:E64" si="16">H58*0.65</f>
        <v>1397.5</v>
      </c>
      <c r="F58" s="66">
        <f t="shared" ref="F58:F64" si="17">H58*0.1</f>
        <v>215</v>
      </c>
      <c r="G58" s="66">
        <f t="shared" ref="G58:G64" si="18">H58*0.25</f>
        <v>537.5</v>
      </c>
      <c r="H58" s="14">
        <v>2150</v>
      </c>
      <c r="I58" s="14">
        <f t="shared" ref="I58:I64" si="19">C58*H58</f>
        <v>281112500</v>
      </c>
    </row>
    <row r="59" spans="1:9" ht="16.5" x14ac:dyDescent="0.2">
      <c r="A59" s="3">
        <v>503</v>
      </c>
      <c r="B59" s="47" t="s">
        <v>78</v>
      </c>
      <c r="C59" s="14">
        <f>55300*0.4</f>
        <v>22120</v>
      </c>
      <c r="D59" s="13" t="s">
        <v>89</v>
      </c>
      <c r="E59" s="66">
        <f t="shared" si="16"/>
        <v>2340</v>
      </c>
      <c r="F59" s="66">
        <f t="shared" si="17"/>
        <v>360</v>
      </c>
      <c r="G59" s="66">
        <f t="shared" si="18"/>
        <v>900</v>
      </c>
      <c r="H59" s="14">
        <v>3600</v>
      </c>
      <c r="I59" s="14">
        <f t="shared" si="19"/>
        <v>79632000</v>
      </c>
    </row>
    <row r="60" spans="1:9" x14ac:dyDescent="0.2">
      <c r="A60" s="3">
        <v>504</v>
      </c>
      <c r="B60" s="47" t="s">
        <v>61</v>
      </c>
      <c r="C60" s="14">
        <v>2669</v>
      </c>
      <c r="D60" s="13" t="s">
        <v>9</v>
      </c>
      <c r="E60" s="66">
        <f t="shared" si="16"/>
        <v>1426.75</v>
      </c>
      <c r="F60" s="66">
        <f t="shared" si="17"/>
        <v>219.5</v>
      </c>
      <c r="G60" s="66">
        <f t="shared" si="18"/>
        <v>548.75</v>
      </c>
      <c r="H60" s="14">
        <v>2195</v>
      </c>
      <c r="I60" s="14">
        <f t="shared" si="19"/>
        <v>5858455</v>
      </c>
    </row>
    <row r="61" spans="1:9" ht="28.5" x14ac:dyDescent="0.2">
      <c r="A61" s="3">
        <v>505</v>
      </c>
      <c r="B61" s="47" t="s">
        <v>59</v>
      </c>
      <c r="C61" s="14">
        <f>C60*1</f>
        <v>2669</v>
      </c>
      <c r="D61" s="13" t="s">
        <v>89</v>
      </c>
      <c r="E61" s="66">
        <f t="shared" si="16"/>
        <v>9576.4500000000007</v>
      </c>
      <c r="F61" s="66">
        <f t="shared" si="17"/>
        <v>1473.3000000000002</v>
      </c>
      <c r="G61" s="66">
        <f t="shared" si="18"/>
        <v>3683.25</v>
      </c>
      <c r="H61" s="14">
        <v>14733</v>
      </c>
      <c r="I61" s="14">
        <f t="shared" si="19"/>
        <v>39322377</v>
      </c>
    </row>
    <row r="62" spans="1:9" ht="28.5" x14ac:dyDescent="0.2">
      <c r="A62" s="3">
        <v>506</v>
      </c>
      <c r="B62" s="47" t="s">
        <v>84</v>
      </c>
      <c r="C62" s="14">
        <f>(2669+1946)*1.2</f>
        <v>5538</v>
      </c>
      <c r="D62" s="13" t="s">
        <v>9</v>
      </c>
      <c r="E62" s="66">
        <f t="shared" si="16"/>
        <v>3687.84</v>
      </c>
      <c r="F62" s="66">
        <f t="shared" si="17"/>
        <v>567.36</v>
      </c>
      <c r="G62" s="66">
        <f t="shared" si="18"/>
        <v>1418.4</v>
      </c>
      <c r="H62" s="14">
        <f>((4*656)*1.4)+2000</f>
        <v>5673.6</v>
      </c>
      <c r="I62" s="14">
        <f t="shared" si="19"/>
        <v>31420396.800000001</v>
      </c>
    </row>
    <row r="63" spans="1:9" ht="28.5" x14ac:dyDescent="0.2">
      <c r="A63" s="3">
        <v>507</v>
      </c>
      <c r="B63" s="47" t="s">
        <v>85</v>
      </c>
      <c r="C63" s="14">
        <f>C62</f>
        <v>5538</v>
      </c>
      <c r="D63" s="13" t="s">
        <v>9</v>
      </c>
      <c r="E63" s="66">
        <f t="shared" si="16"/>
        <v>3986.32</v>
      </c>
      <c r="F63" s="66">
        <f t="shared" si="17"/>
        <v>613.28000000000009</v>
      </c>
      <c r="G63" s="66">
        <f t="shared" si="18"/>
        <v>1533.2</v>
      </c>
      <c r="H63" s="14">
        <f>((4.5*656)*1.4)+2000</f>
        <v>6132.8</v>
      </c>
      <c r="I63" s="14">
        <f t="shared" si="19"/>
        <v>33963446.399999999</v>
      </c>
    </row>
    <row r="64" spans="1:9" ht="28.5" x14ac:dyDescent="0.2">
      <c r="A64" s="3">
        <v>508</v>
      </c>
      <c r="B64" s="47" t="s">
        <v>86</v>
      </c>
      <c r="C64" s="14">
        <f>C63</f>
        <v>5538</v>
      </c>
      <c r="D64" s="13" t="s">
        <v>9</v>
      </c>
      <c r="E64" s="66">
        <f t="shared" si="16"/>
        <v>1287</v>
      </c>
      <c r="F64" s="66">
        <f t="shared" si="17"/>
        <v>198</v>
      </c>
      <c r="G64" s="66">
        <f t="shared" si="18"/>
        <v>495</v>
      </c>
      <c r="H64" s="14">
        <v>1980</v>
      </c>
      <c r="I64" s="14">
        <f t="shared" si="19"/>
        <v>10965240</v>
      </c>
    </row>
    <row r="65" spans="1:9" ht="15" x14ac:dyDescent="0.2">
      <c r="A65" s="9"/>
      <c r="B65" s="24" t="s">
        <v>43</v>
      </c>
      <c r="C65" s="24"/>
      <c r="D65" s="24"/>
      <c r="E65" s="24"/>
      <c r="F65" s="24"/>
      <c r="G65" s="24"/>
      <c r="H65" s="25"/>
      <c r="I65" s="25">
        <f>SUM(I57:I64)</f>
        <v>521724415.19999999</v>
      </c>
    </row>
    <row r="66" spans="1:9" ht="15" x14ac:dyDescent="0.2">
      <c r="A66" s="36">
        <v>600</v>
      </c>
      <c r="B66" s="114" t="s">
        <v>8</v>
      </c>
      <c r="C66" s="115"/>
      <c r="D66" s="115"/>
      <c r="E66" s="115"/>
      <c r="F66" s="115"/>
      <c r="G66" s="115"/>
      <c r="H66" s="115"/>
      <c r="I66" s="116"/>
    </row>
    <row r="67" spans="1:9" ht="28.5" x14ac:dyDescent="0.2">
      <c r="A67" s="3">
        <v>601</v>
      </c>
      <c r="B67" s="47" t="s">
        <v>16</v>
      </c>
      <c r="C67" s="14">
        <v>15000</v>
      </c>
      <c r="D67" s="13" t="s">
        <v>9</v>
      </c>
      <c r="E67" s="66">
        <f>H67*0.65</f>
        <v>1709.5</v>
      </c>
      <c r="F67" s="66">
        <f>H67*0.1</f>
        <v>263</v>
      </c>
      <c r="G67" s="66">
        <f>H67*0.25</f>
        <v>657.5</v>
      </c>
      <c r="H67" s="14">
        <f>780+1850</f>
        <v>2630</v>
      </c>
      <c r="I67" s="14">
        <f>C67*H67</f>
        <v>39450000</v>
      </c>
    </row>
    <row r="68" spans="1:9" ht="16.5" x14ac:dyDescent="0.2">
      <c r="A68" s="3">
        <v>602</v>
      </c>
      <c r="B68" s="47" t="s">
        <v>17</v>
      </c>
      <c r="C68" s="14">
        <f>523000*0.15</f>
        <v>78450</v>
      </c>
      <c r="D68" s="13" t="s">
        <v>89</v>
      </c>
      <c r="E68" s="66">
        <f t="shared" ref="E68:E70" si="20">H68*0.65</f>
        <v>1397.5</v>
      </c>
      <c r="F68" s="66">
        <f t="shared" ref="F68:F70" si="21">H68*0.1</f>
        <v>215</v>
      </c>
      <c r="G68" s="66">
        <f t="shared" ref="G68:G70" si="22">H68*0.25</f>
        <v>537.5</v>
      </c>
      <c r="H68" s="14">
        <v>2150</v>
      </c>
      <c r="I68" s="14">
        <f t="shared" ref="I68:I70" si="23">C68*H68</f>
        <v>168667500</v>
      </c>
    </row>
    <row r="69" spans="1:9" ht="28.5" x14ac:dyDescent="0.2">
      <c r="A69" s="3">
        <v>603</v>
      </c>
      <c r="B69" s="47" t="s">
        <v>77</v>
      </c>
      <c r="C69" s="14">
        <f>55300*0.5</f>
        <v>27650</v>
      </c>
      <c r="D69" s="13" t="s">
        <v>89</v>
      </c>
      <c r="E69" s="66">
        <f t="shared" si="20"/>
        <v>2340</v>
      </c>
      <c r="F69" s="66">
        <f t="shared" si="21"/>
        <v>360</v>
      </c>
      <c r="G69" s="66">
        <f t="shared" si="22"/>
        <v>900</v>
      </c>
      <c r="H69" s="14">
        <v>3600</v>
      </c>
      <c r="I69" s="14">
        <f t="shared" si="23"/>
        <v>99540000</v>
      </c>
    </row>
    <row r="70" spans="1:9" x14ac:dyDescent="0.2">
      <c r="A70" s="3">
        <v>604</v>
      </c>
      <c r="B70" s="48" t="s">
        <v>20</v>
      </c>
      <c r="C70" s="18">
        <v>8681</v>
      </c>
      <c r="D70" s="17" t="s">
        <v>9</v>
      </c>
      <c r="E70" s="66">
        <f t="shared" si="20"/>
        <v>1426.75</v>
      </c>
      <c r="F70" s="66">
        <f t="shared" si="21"/>
        <v>219.5</v>
      </c>
      <c r="G70" s="66">
        <f t="shared" si="22"/>
        <v>548.75</v>
      </c>
      <c r="H70" s="18">
        <v>2195</v>
      </c>
      <c r="I70" s="14">
        <f t="shared" si="23"/>
        <v>19054795</v>
      </c>
    </row>
    <row r="71" spans="1:9" ht="15" x14ac:dyDescent="0.2">
      <c r="A71" s="9"/>
      <c r="B71" s="24" t="s">
        <v>44</v>
      </c>
      <c r="C71" s="26"/>
      <c r="D71" s="24"/>
      <c r="E71" s="24"/>
      <c r="F71" s="24"/>
      <c r="G71" s="24"/>
      <c r="H71" s="25"/>
      <c r="I71" s="25">
        <f>SUM(I67:I70)</f>
        <v>326712295</v>
      </c>
    </row>
    <row r="72" spans="1:9" ht="15" x14ac:dyDescent="0.2">
      <c r="A72" s="36">
        <v>700</v>
      </c>
      <c r="B72" s="114" t="s">
        <v>88</v>
      </c>
      <c r="C72" s="115"/>
      <c r="D72" s="115"/>
      <c r="E72" s="115"/>
      <c r="F72" s="115"/>
      <c r="G72" s="115"/>
      <c r="H72" s="115"/>
      <c r="I72" s="116"/>
    </row>
    <row r="73" spans="1:9" ht="28.5" x14ac:dyDescent="0.2">
      <c r="A73" s="3">
        <v>702</v>
      </c>
      <c r="B73" s="47" t="s">
        <v>62</v>
      </c>
      <c r="C73" s="13">
        <v>50</v>
      </c>
      <c r="D73" s="13" t="s">
        <v>4</v>
      </c>
      <c r="E73" s="66">
        <f>H73*0.65</f>
        <v>625875.35014005611</v>
      </c>
      <c r="F73" s="66">
        <f>H73*0.1</f>
        <v>96288.515406162478</v>
      </c>
      <c r="G73" s="66">
        <f>H73*0.25</f>
        <v>240721.28851540617</v>
      </c>
      <c r="H73" s="14">
        <f>(5000000000/4000/1.19)*11/12</f>
        <v>962885.15406162466</v>
      </c>
      <c r="I73" s="14">
        <f t="shared" ref="I73:I76" si="24">C73*H73</f>
        <v>48144257.703081235</v>
      </c>
    </row>
    <row r="74" spans="1:9" ht="28.5" x14ac:dyDescent="0.2">
      <c r="A74" s="3">
        <v>703</v>
      </c>
      <c r="B74" s="47" t="s">
        <v>66</v>
      </c>
      <c r="C74" s="13">
        <v>1070</v>
      </c>
      <c r="D74" s="13" t="s">
        <v>4</v>
      </c>
      <c r="E74" s="66">
        <f t="shared" ref="E74:E76" si="25">H74*0.65</f>
        <v>18252</v>
      </c>
      <c r="F74" s="66">
        <f t="shared" ref="F74:F76" si="26">H74*0.1</f>
        <v>2808</v>
      </c>
      <c r="G74" s="66">
        <f t="shared" ref="G74:G76" si="27">H74*0.25</f>
        <v>7020</v>
      </c>
      <c r="H74" s="14">
        <v>28080</v>
      </c>
      <c r="I74" s="14">
        <f t="shared" si="24"/>
        <v>30045600</v>
      </c>
    </row>
    <row r="75" spans="1:9" ht="28.5" x14ac:dyDescent="0.2">
      <c r="A75" s="3">
        <v>704</v>
      </c>
      <c r="B75" s="47" t="s">
        <v>80</v>
      </c>
      <c r="C75" s="13">
        <f>3168*0.2</f>
        <v>633.6</v>
      </c>
      <c r="D75" s="13" t="s">
        <v>89</v>
      </c>
      <c r="E75" s="66">
        <f t="shared" si="25"/>
        <v>225810</v>
      </c>
      <c r="F75" s="66">
        <f t="shared" si="26"/>
        <v>34740</v>
      </c>
      <c r="G75" s="66">
        <f t="shared" si="27"/>
        <v>86850</v>
      </c>
      <c r="H75" s="14">
        <v>347400</v>
      </c>
      <c r="I75" s="14">
        <f t="shared" si="24"/>
        <v>220112640</v>
      </c>
    </row>
    <row r="76" spans="1:9" ht="28.5" x14ac:dyDescent="0.2">
      <c r="A76" s="3">
        <v>705</v>
      </c>
      <c r="B76" s="48" t="s">
        <v>81</v>
      </c>
      <c r="C76" s="17">
        <v>1842</v>
      </c>
      <c r="D76" s="17" t="s">
        <v>4</v>
      </c>
      <c r="E76" s="66">
        <f t="shared" si="25"/>
        <v>89050</v>
      </c>
      <c r="F76" s="66">
        <f t="shared" si="26"/>
        <v>13700</v>
      </c>
      <c r="G76" s="66">
        <f t="shared" si="27"/>
        <v>34250</v>
      </c>
      <c r="H76" s="18">
        <f>110000+27000</f>
        <v>137000</v>
      </c>
      <c r="I76" s="14">
        <f t="shared" si="24"/>
        <v>252354000</v>
      </c>
    </row>
    <row r="77" spans="1:9" ht="15" x14ac:dyDescent="0.2">
      <c r="A77" s="9"/>
      <c r="B77" s="24" t="s">
        <v>45</v>
      </c>
      <c r="C77" s="24"/>
      <c r="D77" s="24"/>
      <c r="E77" s="24"/>
      <c r="F77" s="24"/>
      <c r="G77" s="24"/>
      <c r="H77" s="25"/>
      <c r="I77" s="25">
        <f>SUM(I73:I76)</f>
        <v>550656497.70308125</v>
      </c>
    </row>
    <row r="78" spans="1:9" ht="15" x14ac:dyDescent="0.2">
      <c r="A78" s="36">
        <v>800</v>
      </c>
      <c r="B78" s="114" t="s">
        <v>21</v>
      </c>
      <c r="C78" s="115"/>
      <c r="D78" s="115"/>
      <c r="E78" s="115"/>
      <c r="F78" s="115"/>
      <c r="G78" s="115"/>
      <c r="H78" s="115"/>
      <c r="I78" s="116"/>
    </row>
    <row r="79" spans="1:9" x14ac:dyDescent="0.2">
      <c r="A79" s="3">
        <v>801</v>
      </c>
      <c r="B79" s="47" t="s">
        <v>83</v>
      </c>
      <c r="C79" s="13">
        <v>1050</v>
      </c>
      <c r="D79" s="13" t="s">
        <v>4</v>
      </c>
      <c r="E79" s="66">
        <f>H79*0.65</f>
        <v>29250</v>
      </c>
      <c r="F79" s="66">
        <f>H79*0.1</f>
        <v>4500</v>
      </c>
      <c r="G79" s="66">
        <f>H79*0.25</f>
        <v>11250</v>
      </c>
      <c r="H79" s="14">
        <v>45000</v>
      </c>
      <c r="I79" s="14">
        <f>C79*H79</f>
        <v>47250000</v>
      </c>
    </row>
    <row r="80" spans="1:9" ht="28.5" x14ac:dyDescent="0.2">
      <c r="A80" s="3">
        <v>802</v>
      </c>
      <c r="B80" s="47" t="s">
        <v>65</v>
      </c>
      <c r="C80" s="13">
        <v>1</v>
      </c>
      <c r="D80" s="13" t="s">
        <v>38</v>
      </c>
      <c r="E80" s="66">
        <f t="shared" ref="E80:E87" si="28">H80*0.65</f>
        <v>1300000</v>
      </c>
      <c r="F80" s="66">
        <f t="shared" ref="F80:F87" si="29">H80*0.1</f>
        <v>200000</v>
      </c>
      <c r="G80" s="66">
        <f t="shared" ref="G80:G87" si="30">H80*0.25</f>
        <v>500000</v>
      </c>
      <c r="H80" s="14">
        <v>2000000</v>
      </c>
      <c r="I80" s="14">
        <f t="shared" ref="I80:I87" si="31">C80*H80</f>
        <v>2000000</v>
      </c>
    </row>
    <row r="81" spans="1:9" x14ac:dyDescent="0.2">
      <c r="A81" s="3">
        <v>803</v>
      </c>
      <c r="B81" s="47" t="s">
        <v>22</v>
      </c>
      <c r="C81" s="13">
        <v>1</v>
      </c>
      <c r="D81" s="13" t="s">
        <v>38</v>
      </c>
      <c r="E81" s="66">
        <f t="shared" si="28"/>
        <v>4875000</v>
      </c>
      <c r="F81" s="66">
        <f t="shared" si="29"/>
        <v>750000</v>
      </c>
      <c r="G81" s="66">
        <f t="shared" si="30"/>
        <v>1875000</v>
      </c>
      <c r="H81" s="14">
        <v>7500000</v>
      </c>
      <c r="I81" s="14">
        <f t="shared" si="31"/>
        <v>7500000</v>
      </c>
    </row>
    <row r="82" spans="1:9" ht="39.75" x14ac:dyDescent="0.2">
      <c r="A82" s="3">
        <v>804</v>
      </c>
      <c r="B82" s="47" t="s">
        <v>64</v>
      </c>
      <c r="C82" s="13">
        <f>18+6+18</f>
        <v>42</v>
      </c>
      <c r="D82" s="13" t="s">
        <v>9</v>
      </c>
      <c r="E82" s="66">
        <f t="shared" si="28"/>
        <v>357500</v>
      </c>
      <c r="F82" s="66">
        <f t="shared" si="29"/>
        <v>55000</v>
      </c>
      <c r="G82" s="66">
        <f t="shared" si="30"/>
        <v>137500</v>
      </c>
      <c r="H82" s="14">
        <v>550000</v>
      </c>
      <c r="I82" s="14">
        <f t="shared" si="31"/>
        <v>23100000</v>
      </c>
    </row>
    <row r="83" spans="1:9" x14ac:dyDescent="0.2">
      <c r="A83" s="3"/>
      <c r="B83" s="47" t="s">
        <v>91</v>
      </c>
      <c r="C83" s="13">
        <f>15*20</f>
        <v>300</v>
      </c>
      <c r="D83" s="13" t="s">
        <v>9</v>
      </c>
      <c r="E83" s="66">
        <f t="shared" si="28"/>
        <v>224250</v>
      </c>
      <c r="F83" s="66">
        <f t="shared" si="29"/>
        <v>34500</v>
      </c>
      <c r="G83" s="66">
        <f t="shared" si="30"/>
        <v>86250</v>
      </c>
      <c r="H83" s="14">
        <v>345000</v>
      </c>
      <c r="I83" s="14">
        <f t="shared" si="31"/>
        <v>103500000</v>
      </c>
    </row>
    <row r="84" spans="1:9" x14ac:dyDescent="0.2">
      <c r="A84" s="3">
        <v>805</v>
      </c>
      <c r="B84" s="47" t="s">
        <v>23</v>
      </c>
      <c r="C84" s="13">
        <f>(18*3*0.4)+(2*4*3*0.25)+5</f>
        <v>32.6</v>
      </c>
      <c r="D84" s="13" t="s">
        <v>38</v>
      </c>
      <c r="E84" s="66">
        <f t="shared" si="28"/>
        <v>292500</v>
      </c>
      <c r="F84" s="66">
        <f t="shared" si="29"/>
        <v>45000</v>
      </c>
      <c r="G84" s="66">
        <f t="shared" si="30"/>
        <v>112500</v>
      </c>
      <c r="H84" s="14">
        <v>450000</v>
      </c>
      <c r="I84" s="14">
        <f t="shared" si="31"/>
        <v>14670000</v>
      </c>
    </row>
    <row r="85" spans="1:9" x14ac:dyDescent="0.2">
      <c r="A85" s="3">
        <v>806</v>
      </c>
      <c r="B85" s="47" t="s">
        <v>25</v>
      </c>
      <c r="C85" s="13">
        <v>1</v>
      </c>
      <c r="D85" s="13" t="s">
        <v>3</v>
      </c>
      <c r="E85" s="66">
        <f t="shared" si="28"/>
        <v>3055000</v>
      </c>
      <c r="F85" s="66">
        <f t="shared" si="29"/>
        <v>470000</v>
      </c>
      <c r="G85" s="66">
        <f t="shared" si="30"/>
        <v>1175000</v>
      </c>
      <c r="H85" s="14">
        <v>4700000</v>
      </c>
      <c r="I85" s="14">
        <f t="shared" si="31"/>
        <v>4700000</v>
      </c>
    </row>
    <row r="86" spans="1:9" ht="28.5" x14ac:dyDescent="0.2">
      <c r="A86" s="3">
        <v>807</v>
      </c>
      <c r="B86" s="47" t="s">
        <v>67</v>
      </c>
      <c r="C86" s="13">
        <v>1</v>
      </c>
      <c r="D86" s="13" t="s">
        <v>3</v>
      </c>
      <c r="E86" s="66">
        <f t="shared" si="28"/>
        <v>3152500</v>
      </c>
      <c r="F86" s="66">
        <f t="shared" si="29"/>
        <v>485000</v>
      </c>
      <c r="G86" s="66">
        <f t="shared" si="30"/>
        <v>1212500</v>
      </c>
      <c r="H86" s="14">
        <v>4850000</v>
      </c>
      <c r="I86" s="14">
        <f t="shared" si="31"/>
        <v>4850000</v>
      </c>
    </row>
    <row r="87" spans="1:9" x14ac:dyDescent="0.2">
      <c r="A87" s="3">
        <v>808</v>
      </c>
      <c r="B87" s="48" t="s">
        <v>24</v>
      </c>
      <c r="C87" s="17">
        <v>1</v>
      </c>
      <c r="D87" s="17" t="s">
        <v>3</v>
      </c>
      <c r="E87" s="66">
        <f t="shared" si="28"/>
        <v>7800000</v>
      </c>
      <c r="F87" s="66">
        <f t="shared" si="29"/>
        <v>1200000</v>
      </c>
      <c r="G87" s="66">
        <f t="shared" si="30"/>
        <v>3000000</v>
      </c>
      <c r="H87" s="18">
        <v>12000000</v>
      </c>
      <c r="I87" s="14">
        <f t="shared" si="31"/>
        <v>12000000</v>
      </c>
    </row>
    <row r="88" spans="1:9" ht="15" x14ac:dyDescent="0.2">
      <c r="A88" s="9"/>
      <c r="B88" s="24" t="s">
        <v>46</v>
      </c>
      <c r="C88" s="24"/>
      <c r="D88" s="24"/>
      <c r="E88" s="24"/>
      <c r="F88" s="24"/>
      <c r="G88" s="24"/>
      <c r="H88" s="25"/>
      <c r="I88" s="25">
        <f>SUM(I79:I87)</f>
        <v>219570000</v>
      </c>
    </row>
    <row r="89" spans="1:9" ht="15" x14ac:dyDescent="0.2">
      <c r="A89" s="36">
        <v>900</v>
      </c>
      <c r="B89" s="114" t="s">
        <v>26</v>
      </c>
      <c r="C89" s="115"/>
      <c r="D89" s="115"/>
      <c r="E89" s="115"/>
      <c r="F89" s="115"/>
      <c r="G89" s="115"/>
      <c r="H89" s="115"/>
      <c r="I89" s="116"/>
    </row>
    <row r="90" spans="1:9" x14ac:dyDescent="0.2">
      <c r="A90" s="3">
        <v>901</v>
      </c>
      <c r="B90" s="47" t="s">
        <v>63</v>
      </c>
      <c r="C90" s="13">
        <v>1</v>
      </c>
      <c r="D90" s="13" t="s">
        <v>38</v>
      </c>
      <c r="E90" s="66">
        <f>H90*0.65</f>
        <v>4550000</v>
      </c>
      <c r="F90" s="66">
        <f>H90*0.1</f>
        <v>700000</v>
      </c>
      <c r="G90" s="66">
        <f>H90*0.25</f>
        <v>1750000</v>
      </c>
      <c r="H90" s="14">
        <v>7000000</v>
      </c>
      <c r="I90" s="14">
        <f>C90*H90</f>
        <v>7000000</v>
      </c>
    </row>
    <row r="91" spans="1:9" ht="28.5" x14ac:dyDescent="0.2">
      <c r="A91" s="3">
        <v>902</v>
      </c>
      <c r="B91" s="47" t="s">
        <v>27</v>
      </c>
      <c r="C91" s="13">
        <v>105</v>
      </c>
      <c r="D91" s="13" t="s">
        <v>4</v>
      </c>
      <c r="E91" s="66">
        <f t="shared" ref="E91:E92" si="32">H91*0.65</f>
        <v>146250</v>
      </c>
      <c r="F91" s="66">
        <f t="shared" ref="F91:F92" si="33">H91*0.1</f>
        <v>22500</v>
      </c>
      <c r="G91" s="66">
        <f t="shared" ref="G91:G92" si="34">H91*0.25</f>
        <v>56250</v>
      </c>
      <c r="H91" s="14">
        <v>225000</v>
      </c>
      <c r="I91" s="14">
        <f t="shared" ref="I91:I92" si="35">C91*H91</f>
        <v>23625000</v>
      </c>
    </row>
    <row r="92" spans="1:9" x14ac:dyDescent="0.2">
      <c r="A92" s="3">
        <v>903</v>
      </c>
      <c r="B92" s="48" t="s">
        <v>28</v>
      </c>
      <c r="C92" s="17">
        <v>5</v>
      </c>
      <c r="D92" s="17" t="s">
        <v>38</v>
      </c>
      <c r="E92" s="66">
        <f t="shared" si="32"/>
        <v>227500</v>
      </c>
      <c r="F92" s="66">
        <f t="shared" si="33"/>
        <v>35000</v>
      </c>
      <c r="G92" s="66">
        <f t="shared" si="34"/>
        <v>87500</v>
      </c>
      <c r="H92" s="18">
        <v>350000</v>
      </c>
      <c r="I92" s="14">
        <f t="shared" si="35"/>
        <v>1750000</v>
      </c>
    </row>
    <row r="93" spans="1:9" ht="15" x14ac:dyDescent="0.2">
      <c r="A93" s="9"/>
      <c r="B93" s="24" t="s">
        <v>47</v>
      </c>
      <c r="C93" s="24"/>
      <c r="D93" s="24"/>
      <c r="E93" s="24"/>
      <c r="F93" s="24"/>
      <c r="G93" s="24"/>
      <c r="H93" s="25"/>
      <c r="I93" s="25">
        <f>SUM(I90:I92)</f>
        <v>32375000</v>
      </c>
    </row>
    <row r="94" spans="1:9" ht="15" x14ac:dyDescent="0.2">
      <c r="A94" s="36">
        <v>1000</v>
      </c>
      <c r="B94" s="114" t="s">
        <v>30</v>
      </c>
      <c r="C94" s="115"/>
      <c r="D94" s="115"/>
      <c r="E94" s="115"/>
      <c r="F94" s="115"/>
      <c r="G94" s="115"/>
      <c r="H94" s="115"/>
      <c r="I94" s="116"/>
    </row>
    <row r="95" spans="1:9" ht="28.5" x14ac:dyDescent="0.2">
      <c r="A95" s="3">
        <v>1001</v>
      </c>
      <c r="B95" s="47" t="s">
        <v>68</v>
      </c>
      <c r="C95" s="13">
        <v>1013</v>
      </c>
      <c r="D95" s="13" t="s">
        <v>4</v>
      </c>
      <c r="E95" s="66">
        <f>H95*0.65</f>
        <v>0</v>
      </c>
      <c r="F95" s="66">
        <f>H95*0.1</f>
        <v>0</v>
      </c>
      <c r="G95" s="66">
        <f>H95*0.25</f>
        <v>0</v>
      </c>
      <c r="H95" s="14">
        <v>0</v>
      </c>
      <c r="I95" s="14">
        <f>H95*C95</f>
        <v>0</v>
      </c>
    </row>
    <row r="96" spans="1:9" ht="28.5" x14ac:dyDescent="0.2">
      <c r="A96" s="3">
        <v>1002</v>
      </c>
      <c r="B96" s="47" t="s">
        <v>29</v>
      </c>
      <c r="C96" s="13">
        <v>1</v>
      </c>
      <c r="D96" s="13" t="s">
        <v>3</v>
      </c>
      <c r="E96" s="66">
        <f t="shared" ref="E96:E97" si="36">H96*0.65</f>
        <v>5200000</v>
      </c>
      <c r="F96" s="66">
        <f t="shared" ref="F96:F97" si="37">H96*0.1</f>
        <v>800000</v>
      </c>
      <c r="G96" s="66">
        <f t="shared" ref="G96:G97" si="38">H96*0.25</f>
        <v>2000000</v>
      </c>
      <c r="H96" s="18">
        <v>8000000</v>
      </c>
      <c r="I96" s="14">
        <f t="shared" ref="I96:I97" si="39">C96*H96</f>
        <v>8000000</v>
      </c>
    </row>
    <row r="97" spans="1:9" ht="28.5" x14ac:dyDescent="0.2">
      <c r="A97" s="3">
        <v>1003</v>
      </c>
      <c r="B97" s="48" t="s">
        <v>82</v>
      </c>
      <c r="C97" s="18">
        <f>C79/20</f>
        <v>52.5</v>
      </c>
      <c r="D97" s="17" t="s">
        <v>38</v>
      </c>
      <c r="E97" s="66">
        <f t="shared" si="36"/>
        <v>291200</v>
      </c>
      <c r="F97" s="66">
        <f t="shared" si="37"/>
        <v>44800</v>
      </c>
      <c r="G97" s="66">
        <f t="shared" si="38"/>
        <v>112000</v>
      </c>
      <c r="H97" s="18">
        <v>448000</v>
      </c>
      <c r="I97" s="14">
        <f t="shared" si="39"/>
        <v>23520000</v>
      </c>
    </row>
    <row r="98" spans="1:9" ht="15" x14ac:dyDescent="0.2">
      <c r="A98" s="9"/>
      <c r="B98" s="24" t="s">
        <v>48</v>
      </c>
      <c r="C98" s="24"/>
      <c r="D98" s="24"/>
      <c r="E98" s="24"/>
      <c r="F98" s="24"/>
      <c r="G98" s="24"/>
      <c r="H98" s="25"/>
      <c r="I98" s="25">
        <f>SUM(I95:I97)</f>
        <v>31520000</v>
      </c>
    </row>
    <row r="99" spans="1:9" ht="15" x14ac:dyDescent="0.2">
      <c r="A99" s="36">
        <v>1100</v>
      </c>
      <c r="B99" s="114" t="s">
        <v>31</v>
      </c>
      <c r="C99" s="115"/>
      <c r="D99" s="115"/>
      <c r="E99" s="115"/>
      <c r="F99" s="115"/>
      <c r="G99" s="115"/>
      <c r="H99" s="115"/>
      <c r="I99" s="116"/>
    </row>
    <row r="100" spans="1:9" ht="28.5" x14ac:dyDescent="0.2">
      <c r="A100" s="3">
        <v>1101</v>
      </c>
      <c r="B100" s="49" t="s">
        <v>69</v>
      </c>
      <c r="C100" s="13">
        <v>1</v>
      </c>
      <c r="D100" s="13" t="s">
        <v>3</v>
      </c>
      <c r="E100" s="66">
        <f>H100*0.65</f>
        <v>7475000</v>
      </c>
      <c r="F100" s="66">
        <f>H100*0.1</f>
        <v>1150000</v>
      </c>
      <c r="G100" s="66">
        <f>H100*0.25</f>
        <v>2875000</v>
      </c>
      <c r="H100" s="14">
        <v>11500000</v>
      </c>
      <c r="I100" s="14">
        <f>C100*H100</f>
        <v>11500000</v>
      </c>
    </row>
    <row r="101" spans="1:9" ht="28.5" x14ac:dyDescent="0.2">
      <c r="A101" s="3">
        <v>1102</v>
      </c>
      <c r="B101" s="47" t="s">
        <v>70</v>
      </c>
      <c r="C101" s="13">
        <v>1</v>
      </c>
      <c r="D101" s="13" t="s">
        <v>3</v>
      </c>
      <c r="E101" s="66">
        <f t="shared" ref="E101:E104" si="40">H101*0.65</f>
        <v>17550000</v>
      </c>
      <c r="F101" s="66">
        <f t="shared" ref="F101:F104" si="41">H101*0.1</f>
        <v>2700000</v>
      </c>
      <c r="G101" s="66">
        <f t="shared" ref="G101:G104" si="42">H101*0.25</f>
        <v>6750000</v>
      </c>
      <c r="H101" s="14">
        <f>6*4500000</f>
        <v>27000000</v>
      </c>
      <c r="I101" s="14">
        <f t="shared" ref="I101:I104" si="43">C101*H101</f>
        <v>27000000</v>
      </c>
    </row>
    <row r="102" spans="1:9" x14ac:dyDescent="0.2">
      <c r="A102" s="3">
        <v>1103</v>
      </c>
      <c r="B102" s="47" t="s">
        <v>32</v>
      </c>
      <c r="C102" s="13">
        <v>1</v>
      </c>
      <c r="D102" s="13" t="s">
        <v>3</v>
      </c>
      <c r="E102" s="66">
        <f t="shared" si="40"/>
        <v>11050000</v>
      </c>
      <c r="F102" s="66">
        <f t="shared" si="41"/>
        <v>1700000</v>
      </c>
      <c r="G102" s="66">
        <f t="shared" si="42"/>
        <v>4250000</v>
      </c>
      <c r="H102" s="14">
        <v>17000000</v>
      </c>
      <c r="I102" s="14">
        <f t="shared" si="43"/>
        <v>17000000</v>
      </c>
    </row>
    <row r="103" spans="1:9" x14ac:dyDescent="0.2">
      <c r="A103" s="3">
        <v>1104</v>
      </c>
      <c r="B103" s="48" t="s">
        <v>34</v>
      </c>
      <c r="C103" s="17">
        <v>12</v>
      </c>
      <c r="D103" s="17" t="s">
        <v>7</v>
      </c>
      <c r="E103" s="66">
        <f t="shared" si="40"/>
        <v>5200000</v>
      </c>
      <c r="F103" s="66">
        <f t="shared" si="41"/>
        <v>800000</v>
      </c>
      <c r="G103" s="66">
        <f t="shared" si="42"/>
        <v>2000000</v>
      </c>
      <c r="H103" s="18">
        <v>8000000</v>
      </c>
      <c r="I103" s="14">
        <f t="shared" si="43"/>
        <v>96000000</v>
      </c>
    </row>
    <row r="104" spans="1:9" ht="28.5" x14ac:dyDescent="0.2">
      <c r="A104" s="3">
        <v>1105</v>
      </c>
      <c r="B104" s="47" t="s">
        <v>33</v>
      </c>
      <c r="C104" s="13">
        <v>1</v>
      </c>
      <c r="D104" s="13" t="s">
        <v>3</v>
      </c>
      <c r="E104" s="66">
        <f t="shared" si="40"/>
        <v>4810000</v>
      </c>
      <c r="F104" s="66">
        <f t="shared" si="41"/>
        <v>740000</v>
      </c>
      <c r="G104" s="66">
        <f t="shared" si="42"/>
        <v>1850000</v>
      </c>
      <c r="H104" s="14">
        <v>7400000</v>
      </c>
      <c r="I104" s="14">
        <f t="shared" si="43"/>
        <v>7400000</v>
      </c>
    </row>
    <row r="105" spans="1:9" ht="15" x14ac:dyDescent="0.2">
      <c r="A105" s="9"/>
      <c r="B105" s="24" t="s">
        <v>49</v>
      </c>
      <c r="C105" s="24"/>
      <c r="D105" s="24"/>
      <c r="E105" s="24"/>
      <c r="F105" s="24"/>
      <c r="G105" s="24"/>
      <c r="H105" s="25"/>
      <c r="I105" s="25">
        <f>SUM(I100:I104)</f>
        <v>158900000</v>
      </c>
    </row>
    <row r="106" spans="1:9" ht="15" x14ac:dyDescent="0.2">
      <c r="A106" s="36">
        <v>1200</v>
      </c>
      <c r="B106" s="114" t="s">
        <v>35</v>
      </c>
      <c r="C106" s="115"/>
      <c r="D106" s="115"/>
      <c r="E106" s="115"/>
      <c r="F106" s="115"/>
      <c r="G106" s="115"/>
      <c r="H106" s="115"/>
      <c r="I106" s="116"/>
    </row>
    <row r="107" spans="1:9" x14ac:dyDescent="0.2">
      <c r="A107" s="3">
        <v>1201</v>
      </c>
      <c r="B107" s="47" t="s">
        <v>36</v>
      </c>
      <c r="C107" s="13">
        <v>12</v>
      </c>
      <c r="D107" s="3" t="s">
        <v>7</v>
      </c>
      <c r="E107" s="66">
        <f>H107*0.65</f>
        <v>2015000</v>
      </c>
      <c r="F107" s="66">
        <f>H107*0.1</f>
        <v>310000</v>
      </c>
      <c r="G107" s="66">
        <f>H107*0.25</f>
        <v>775000</v>
      </c>
      <c r="H107" s="5">
        <f>+(27000000/12)+500000+150000+200000</f>
        <v>3100000</v>
      </c>
      <c r="I107" s="5">
        <f>C107*H107</f>
        <v>37200000</v>
      </c>
    </row>
    <row r="108" spans="1:9" x14ac:dyDescent="0.2">
      <c r="A108" s="7">
        <v>1202</v>
      </c>
      <c r="B108" s="48" t="s">
        <v>71</v>
      </c>
      <c r="C108" s="7"/>
      <c r="D108" s="7"/>
      <c r="E108" s="64"/>
      <c r="F108" s="64"/>
      <c r="G108" s="66"/>
      <c r="H108" s="8"/>
      <c r="I108" s="5">
        <f>SUM(I28,I36,I41,I55,I65,I71,I77,I88,I93,I98,I105)*0.1</f>
        <v>412015864.45430815</v>
      </c>
    </row>
    <row r="109" spans="1:9" ht="15" x14ac:dyDescent="0.2">
      <c r="A109" s="9"/>
      <c r="B109" s="24" t="s">
        <v>50</v>
      </c>
      <c r="C109" s="24"/>
      <c r="D109" s="24"/>
      <c r="E109" s="24"/>
      <c r="F109" s="24"/>
      <c r="G109" s="24"/>
      <c r="H109" s="27"/>
      <c r="I109" s="25">
        <f>+SUM(I107:I108)</f>
        <v>449215864.45430815</v>
      </c>
    </row>
    <row r="110" spans="1:9" ht="15" thickBot="1" x14ac:dyDescent="0.25"/>
    <row r="111" spans="1:9" ht="15.75" x14ac:dyDescent="0.2">
      <c r="B111" s="107" t="s">
        <v>96</v>
      </c>
      <c r="C111" s="108"/>
      <c r="D111" s="108"/>
      <c r="E111" s="108"/>
      <c r="F111" s="108"/>
      <c r="G111" s="108"/>
      <c r="H111" s="108"/>
      <c r="I111" s="37">
        <f>SUM(I28,I36,I41,I55,I65,I71,I77,I88,I93,I98,I105,I109)</f>
        <v>4569374508.9973898</v>
      </c>
    </row>
    <row r="112" spans="1:9" ht="15" x14ac:dyDescent="0.2">
      <c r="B112" s="109" t="s">
        <v>51</v>
      </c>
      <c r="C112" s="110"/>
      <c r="D112" s="110"/>
      <c r="E112" s="110"/>
      <c r="F112" s="110"/>
      <c r="G112" s="110"/>
      <c r="H112" s="110"/>
      <c r="I112" s="38">
        <f>I111*0.18</f>
        <v>822487411.61953008</v>
      </c>
    </row>
    <row r="113" spans="1:9" ht="15" x14ac:dyDescent="0.2">
      <c r="B113" s="109" t="s">
        <v>52</v>
      </c>
      <c r="C113" s="110"/>
      <c r="D113" s="110"/>
      <c r="E113" s="110"/>
      <c r="F113" s="110"/>
      <c r="G113" s="110"/>
      <c r="H113" s="110"/>
      <c r="I113" s="38">
        <f>I111*0.01</f>
        <v>45693745.089973897</v>
      </c>
    </row>
    <row r="114" spans="1:9" ht="15.75" x14ac:dyDescent="0.2">
      <c r="B114" s="111" t="s">
        <v>97</v>
      </c>
      <c r="C114" s="112"/>
      <c r="D114" s="112"/>
      <c r="E114" s="112"/>
      <c r="F114" s="112"/>
      <c r="G114" s="112"/>
      <c r="H114" s="112"/>
      <c r="I114" s="39">
        <f>I111+I112+I113</f>
        <v>5437555665.706893</v>
      </c>
    </row>
    <row r="115" spans="1:9" ht="15" thickBot="1" x14ac:dyDescent="0.25">
      <c r="B115" s="40"/>
      <c r="C115" s="41"/>
      <c r="D115" s="41"/>
      <c r="E115" s="41"/>
      <c r="F115" s="41"/>
      <c r="G115" s="41"/>
      <c r="H115" s="41"/>
      <c r="I115" s="42"/>
    </row>
    <row r="117" spans="1:9" ht="30.75" customHeight="1" x14ac:dyDescent="0.2">
      <c r="A117" s="113"/>
      <c r="B117" s="113"/>
      <c r="C117" s="113"/>
      <c r="D117" s="113"/>
      <c r="E117" s="113"/>
      <c r="F117" s="113"/>
      <c r="G117" s="113"/>
      <c r="H117" s="113"/>
      <c r="I117" s="113"/>
    </row>
    <row r="118" spans="1:9" ht="15" x14ac:dyDescent="0.2">
      <c r="A118" s="43"/>
      <c r="B118" s="43"/>
      <c r="C118" s="43"/>
      <c r="D118" s="43"/>
      <c r="E118" s="43"/>
      <c r="F118" s="43"/>
      <c r="G118" s="43"/>
      <c r="H118" s="43"/>
      <c r="I118" s="43"/>
    </row>
    <row r="120" spans="1:9" x14ac:dyDescent="0.2">
      <c r="A120" s="105"/>
      <c r="B120" s="105"/>
    </row>
    <row r="121" spans="1:9" x14ac:dyDescent="0.2">
      <c r="A121" s="30"/>
      <c r="B121" s="30"/>
    </row>
    <row r="123" spans="1:9" ht="15" x14ac:dyDescent="0.2">
      <c r="A123" s="106"/>
      <c r="B123" s="106"/>
    </row>
    <row r="125" spans="1:9" ht="15" x14ac:dyDescent="0.2">
      <c r="A125" s="106"/>
      <c r="B125" s="106"/>
    </row>
  </sheetData>
  <mergeCells count="29">
    <mergeCell ref="B37:I37"/>
    <mergeCell ref="H8:I8"/>
    <mergeCell ref="H9:I9"/>
    <mergeCell ref="A13:I13"/>
    <mergeCell ref="A14:I14"/>
    <mergeCell ref="B15:I15"/>
    <mergeCell ref="B16:I16"/>
    <mergeCell ref="B17:I17"/>
    <mergeCell ref="A19:I19"/>
    <mergeCell ref="A21:B21"/>
    <mergeCell ref="B24:I24"/>
    <mergeCell ref="B29:I29"/>
    <mergeCell ref="B113:H113"/>
    <mergeCell ref="B42:I42"/>
    <mergeCell ref="B56:I56"/>
    <mergeCell ref="B66:I66"/>
    <mergeCell ref="B72:I72"/>
    <mergeCell ref="B78:I78"/>
    <mergeCell ref="B89:I89"/>
    <mergeCell ref="B94:I94"/>
    <mergeCell ref="B99:I99"/>
    <mergeCell ref="B106:I106"/>
    <mergeCell ref="B111:H111"/>
    <mergeCell ref="B112:H112"/>
    <mergeCell ref="B114:H114"/>
    <mergeCell ref="A117:I117"/>
    <mergeCell ref="A120:B120"/>
    <mergeCell ref="A123:B123"/>
    <mergeCell ref="A125:B125"/>
  </mergeCells>
  <pageMargins left="0.74803149606299213" right="0.74803149606299213" top="0.86614173228346458" bottom="0.98425196850393704" header="0.51181102362204722" footer="0.51181102362204722"/>
  <pageSetup paperSize="9" scale="53" orientation="portrait" verticalDpi="300" r:id="rId1"/>
  <headerFooter>
    <oddFooter>&amp;L&amp;G&amp;R&amp;G</oddFooter>
  </headerFooter>
  <rowBreaks count="1" manualBreakCount="1">
    <brk id="71" max="8" man="1"/>
  </rowBreaks>
  <colBreaks count="1" manualBreakCount="1">
    <brk id="9" max="1048575" man="1"/>
  </colBreaks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"/>
  <sheetViews>
    <sheetView topLeftCell="E13" zoomScale="130" zoomScaleNormal="130" workbookViewId="0">
      <selection activeCell="U4" sqref="U4"/>
    </sheetView>
  </sheetViews>
  <sheetFormatPr baseColWidth="10" defaultRowHeight="15" x14ac:dyDescent="0.25"/>
  <cols>
    <col min="1" max="16384" width="11.42578125" style="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RECAP</vt:lpstr>
      <vt:lpstr>DQE CET</vt:lpstr>
      <vt:lpstr>BPU</vt:lpstr>
      <vt:lpstr>SDPU</vt:lpstr>
      <vt:lpstr>Coupe</vt:lpstr>
      <vt:lpstr>BPU!Zone_d_impression</vt:lpstr>
      <vt:lpstr>'DQE CET'!Zone_d_impression</vt:lpstr>
      <vt:lpstr>RECAP!Zone_d_impression</vt:lpstr>
      <vt:lpstr>SDPU!Zone_d_impression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BTP</cp:lastModifiedBy>
  <cp:lastPrinted>2026-03-03T13:58:38Z</cp:lastPrinted>
  <dcterms:created xsi:type="dcterms:W3CDTF">2025-12-01T11:54:22Z</dcterms:created>
  <dcterms:modified xsi:type="dcterms:W3CDTF">2026-03-03T14:34:12Z</dcterms:modified>
</cp:coreProperties>
</file>