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llogo\Desktop\PROJETS MIKA\PROJET CAPAD\"/>
    </mc:Choice>
  </mc:AlternateContent>
  <xr:revisionPtr revIDLastSave="0" documentId="13_ncr:1_{1BFF19CE-FEF9-4305-9A0B-74077947E35D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Récap" sheetId="12" r:id="rId1"/>
    <sheet name="Phasage" sheetId="21" r:id="rId2"/>
    <sheet name="BATIMENT CENTRE DE PECHE" sheetId="18" r:id="rId3"/>
    <sheet name="RESTAURANT BAR" sheetId="19" r:id="rId4"/>
    <sheet name="VESTIAIRES" sheetId="20" r:id="rId5"/>
    <sheet name="CONSTRUCTION ROUTE" sheetId="14" r:id="rId6"/>
  </sheets>
  <externalReferences>
    <externalReference r:id="rId7"/>
  </externalReferences>
  <definedNames>
    <definedName name="_xlnm.Print_Area" localSheetId="2">'BATIMENT CENTRE DE PECHE'!$A$1:$F$135</definedName>
    <definedName name="_xlnm.Print_Area" localSheetId="5">'CONSTRUCTION ROUTE'!$A$1:$F$91</definedName>
    <definedName name="_xlnm.Print_Area" localSheetId="0">Récap!$A$1:$E$33</definedName>
    <definedName name="_xlnm.Print_Area" localSheetId="3">'RESTAURANT BAR'!$A$1:$F$130</definedName>
    <definedName name="_xlnm.Print_Area" localSheetId="4">VESTIAIRES!$A$1:$F$102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12" l="1"/>
  <c r="G2" i="21"/>
  <c r="D2" i="21"/>
  <c r="H2" i="21" s="1"/>
  <c r="H75" i="14"/>
  <c r="H74" i="14"/>
  <c r="H73" i="14"/>
  <c r="H72" i="14"/>
  <c r="H71" i="14"/>
  <c r="H70" i="14"/>
  <c r="H69" i="14"/>
  <c r="H66" i="14"/>
  <c r="H65" i="14"/>
  <c r="H64" i="14"/>
  <c r="H63" i="14"/>
  <c r="H62" i="14"/>
  <c r="H61" i="14"/>
  <c r="H60" i="14"/>
  <c r="H59" i="14"/>
  <c r="H58" i="14"/>
  <c r="H67" i="14" s="1"/>
  <c r="H57" i="14"/>
  <c r="H56" i="14"/>
  <c r="H55" i="14"/>
  <c r="H53" i="14"/>
  <c r="H52" i="14"/>
  <c r="H51" i="14"/>
  <c r="H50" i="14"/>
  <c r="H49" i="14"/>
  <c r="H48" i="14"/>
  <c r="H47" i="14"/>
  <c r="H46" i="14"/>
  <c r="H45" i="14"/>
  <c r="H44" i="14"/>
  <c r="H43" i="14"/>
  <c r="H42" i="14"/>
  <c r="H41" i="14"/>
  <c r="H40" i="14"/>
  <c r="H39" i="14"/>
  <c r="H38" i="14"/>
  <c r="H37" i="14"/>
  <c r="D44" i="21"/>
  <c r="D43" i="21"/>
  <c r="D42" i="21"/>
  <c r="D41" i="21"/>
  <c r="D40" i="21"/>
  <c r="D39" i="21"/>
  <c r="D38" i="21"/>
  <c r="D37" i="21"/>
  <c r="D36" i="21"/>
  <c r="D35" i="21"/>
  <c r="D34" i="21"/>
  <c r="D32" i="21"/>
  <c r="C43" i="21"/>
  <c r="C42" i="21"/>
  <c r="C41" i="21"/>
  <c r="C40" i="21"/>
  <c r="C39" i="21"/>
  <c r="C38" i="21"/>
  <c r="C37" i="21"/>
  <c r="C36" i="21"/>
  <c r="C35" i="21"/>
  <c r="C34" i="21"/>
  <c r="J20" i="12"/>
  <c r="K20" i="12"/>
  <c r="L20" i="12"/>
  <c r="M20" i="12"/>
  <c r="N20" i="12"/>
  <c r="O20" i="12"/>
  <c r="P20" i="12"/>
  <c r="Q20" i="12"/>
  <c r="R20" i="12"/>
  <c r="S20" i="12"/>
  <c r="T20" i="12"/>
  <c r="U20" i="12"/>
  <c r="I35" i="14"/>
  <c r="H35" i="14"/>
  <c r="H34" i="14"/>
  <c r="H33" i="14"/>
  <c r="H32" i="14"/>
  <c r="H31" i="14"/>
  <c r="H30" i="14"/>
  <c r="I28" i="14"/>
  <c r="H28" i="14"/>
  <c r="H26" i="14"/>
  <c r="H25" i="14"/>
  <c r="H24" i="14"/>
  <c r="H23" i="14"/>
  <c r="H22" i="14"/>
  <c r="I20" i="14"/>
  <c r="H20" i="14"/>
  <c r="H19" i="14"/>
  <c r="H18" i="14"/>
  <c r="H17" i="14"/>
  <c r="H16" i="14"/>
  <c r="H15" i="14"/>
  <c r="H14" i="14"/>
  <c r="H13" i="14"/>
  <c r="H76" i="14" l="1"/>
  <c r="I76" i="14"/>
  <c r="I19" i="12"/>
  <c r="I20" i="12" l="1"/>
  <c r="C33" i="21" s="1"/>
  <c r="D33" i="21" l="1"/>
  <c r="F14" i="21" l="1"/>
  <c r="F13" i="21"/>
  <c r="F12" i="21"/>
  <c r="F11" i="21"/>
  <c r="F10" i="21"/>
  <c r="F9" i="21"/>
  <c r="F8" i="21"/>
  <c r="F7" i="21"/>
  <c r="F6" i="21"/>
  <c r="F5" i="21"/>
  <c r="F4" i="21"/>
  <c r="F3" i="21"/>
  <c r="F2" i="21"/>
  <c r="F58" i="18"/>
  <c r="F59" i="18"/>
  <c r="E56" i="18"/>
  <c r="D56" i="18"/>
  <c r="F56" i="18" s="1"/>
  <c r="D40" i="18"/>
  <c r="E38" i="18"/>
  <c r="E37" i="18"/>
  <c r="E36" i="18"/>
  <c r="E35" i="18"/>
  <c r="E34" i="18"/>
  <c r="D21" i="18"/>
  <c r="D28" i="18"/>
  <c r="E51" i="19"/>
  <c r="E46" i="19"/>
  <c r="D44" i="19"/>
  <c r="D28" i="19"/>
  <c r="D40" i="19" s="1"/>
  <c r="E37" i="19"/>
  <c r="E36" i="19"/>
  <c r="E35" i="19"/>
  <c r="E34" i="19"/>
  <c r="D25" i="19"/>
  <c r="D26" i="19" s="1"/>
  <c r="E81" i="20"/>
  <c r="E79" i="20"/>
  <c r="E82" i="20"/>
  <c r="E77" i="20"/>
  <c r="E76" i="20"/>
  <c r="D39" i="20"/>
  <c r="E37" i="20"/>
  <c r="E34" i="20"/>
  <c r="E24" i="20"/>
  <c r="E28" i="20"/>
  <c r="D28" i="20"/>
  <c r="D25" i="20"/>
  <c r="D26" i="20" s="1"/>
  <c r="D24" i="20"/>
  <c r="D23" i="20"/>
  <c r="D21" i="20"/>
  <c r="D20" i="20"/>
  <c r="D19" i="20"/>
  <c r="D33" i="20"/>
  <c r="D73" i="14"/>
  <c r="D41" i="14"/>
  <c r="E37" i="14"/>
  <c r="E69" i="14" s="1"/>
  <c r="E60" i="14"/>
  <c r="D36" i="19" l="1"/>
  <c r="D41" i="19" s="1"/>
  <c r="D71" i="14" l="1"/>
  <c r="F71" i="14" s="1"/>
  <c r="D69" i="14"/>
  <c r="D74" i="14"/>
  <c r="D62" i="14"/>
  <c r="D32" i="14"/>
  <c r="D61" i="14"/>
  <c r="D60" i="14"/>
  <c r="D39" i="14"/>
  <c r="D38" i="14"/>
  <c r="D33" i="14"/>
  <c r="D24" i="14"/>
  <c r="D30" i="14"/>
  <c r="D37" i="14"/>
  <c r="E24" i="14"/>
  <c r="E25" i="14"/>
  <c r="E19" i="14"/>
  <c r="E16" i="14"/>
  <c r="F14" i="14"/>
  <c r="D65" i="14"/>
  <c r="D23" i="14"/>
  <c r="D22" i="14"/>
  <c r="E45" i="20"/>
  <c r="F45" i="20" s="1"/>
  <c r="D31" i="18" l="1"/>
  <c r="D29" i="18"/>
  <c r="D22" i="18"/>
  <c r="D20" i="18"/>
  <c r="D21" i="19"/>
  <c r="D20" i="19"/>
  <c r="D19" i="18"/>
  <c r="D42" i="19"/>
  <c r="D46" i="19"/>
  <c r="E50" i="19"/>
  <c r="F50" i="19" s="1"/>
  <c r="D45" i="19"/>
  <c r="D43" i="19"/>
  <c r="D35" i="19"/>
  <c r="D33" i="19"/>
  <c r="D30" i="19"/>
  <c r="D31" i="19"/>
  <c r="D29" i="19"/>
  <c r="D24" i="19"/>
  <c r="D22" i="19"/>
  <c r="D19" i="19"/>
  <c r="D72" i="14"/>
  <c r="D82" i="20"/>
  <c r="D77" i="20"/>
  <c r="D69" i="20"/>
  <c r="D68" i="20"/>
  <c r="D67" i="20"/>
  <c r="D66" i="20"/>
  <c r="D30" i="20"/>
  <c r="D31" i="20"/>
  <c r="D29" i="20"/>
  <c r="D22" i="20"/>
  <c r="D44" i="20"/>
  <c r="D46" i="20"/>
  <c r="D42" i="20"/>
  <c r="D41" i="20"/>
  <c r="D37" i="20"/>
  <c r="D36" i="20"/>
  <c r="D40" i="20" s="1"/>
  <c r="D35" i="20"/>
  <c r="D34" i="20"/>
  <c r="F74" i="14"/>
  <c r="E53" i="19"/>
  <c r="F51" i="18"/>
  <c r="E55" i="18"/>
  <c r="F55" i="18" s="1"/>
  <c r="D79" i="20"/>
  <c r="D76" i="20"/>
  <c r="D58" i="20"/>
  <c r="F73" i="14"/>
  <c r="F69" i="14"/>
  <c r="E72" i="14"/>
  <c r="D37" i="19" l="1"/>
  <c r="D94" i="19" s="1"/>
  <c r="F24" i="14"/>
  <c r="E34" i="14"/>
  <c r="E33" i="14"/>
  <c r="F33" i="14" s="1"/>
  <c r="E32" i="14"/>
  <c r="F32" i="14" s="1"/>
  <c r="E30" i="14"/>
  <c r="E31" i="14" s="1"/>
  <c r="F27" i="14"/>
  <c r="F26" i="14"/>
  <c r="F25" i="14"/>
  <c r="E23" i="14"/>
  <c r="E22" i="14"/>
  <c r="F16" i="14"/>
  <c r="F17" i="14"/>
  <c r="F18" i="14"/>
  <c r="F19" i="14"/>
  <c r="F15" i="14"/>
  <c r="F13" i="14"/>
  <c r="F60" i="14"/>
  <c r="F21" i="18"/>
  <c r="F23" i="18"/>
  <c r="E26" i="18"/>
  <c r="F72" i="14"/>
  <c r="D70" i="14"/>
  <c r="F41" i="20"/>
  <c r="F39" i="20"/>
  <c r="F23" i="20"/>
  <c r="F22" i="20"/>
  <c r="F21" i="20"/>
  <c r="H87" i="20"/>
  <c r="E86" i="20"/>
  <c r="F86" i="20" s="1"/>
  <c r="E85" i="20"/>
  <c r="F85" i="20" s="1"/>
  <c r="F82" i="20"/>
  <c r="F81" i="20"/>
  <c r="E80" i="20"/>
  <c r="F80" i="20" s="1"/>
  <c r="F79" i="20"/>
  <c r="F77" i="20"/>
  <c r="F76" i="20"/>
  <c r="E74" i="20"/>
  <c r="F74" i="20" s="1"/>
  <c r="H73" i="20"/>
  <c r="E73" i="20"/>
  <c r="F73" i="20" s="1"/>
  <c r="H72" i="20"/>
  <c r="E72" i="20"/>
  <c r="F72" i="20" s="1"/>
  <c r="E71" i="20"/>
  <c r="F71" i="20" s="1"/>
  <c r="E70" i="20"/>
  <c r="F70" i="20" s="1"/>
  <c r="F69" i="20"/>
  <c r="E68" i="20"/>
  <c r="F68" i="20" s="1"/>
  <c r="E67" i="20"/>
  <c r="F67" i="20" s="1"/>
  <c r="E66" i="20"/>
  <c r="F66" i="20" s="1"/>
  <c r="H64" i="20"/>
  <c r="E60" i="20"/>
  <c r="F60" i="20" s="1"/>
  <c r="E59" i="20"/>
  <c r="F59" i="20" s="1"/>
  <c r="H58" i="20"/>
  <c r="E58" i="20"/>
  <c r="F58" i="20" s="1"/>
  <c r="H57" i="20"/>
  <c r="E57" i="20" s="1"/>
  <c r="F57" i="20" s="1"/>
  <c r="E56" i="20"/>
  <c r="F56" i="20" s="1"/>
  <c r="H55" i="20"/>
  <c r="E55" i="20" s="1"/>
  <c r="F55" i="20" s="1"/>
  <c r="H54" i="20"/>
  <c r="F54" i="20" s="1"/>
  <c r="H50" i="20"/>
  <c r="E53" i="20" s="1"/>
  <c r="F53" i="20" s="1"/>
  <c r="F46" i="20"/>
  <c r="F44" i="20"/>
  <c r="E42" i="20"/>
  <c r="E36" i="20"/>
  <c r="J35" i="20"/>
  <c r="I35" i="20"/>
  <c r="H35" i="20"/>
  <c r="E35" i="20"/>
  <c r="F32" i="20"/>
  <c r="E31" i="20"/>
  <c r="E30" i="20"/>
  <c r="E29" i="20"/>
  <c r="E25" i="20"/>
  <c r="E20" i="20"/>
  <c r="E19" i="20"/>
  <c r="F15" i="20"/>
  <c r="F14" i="20"/>
  <c r="D73" i="18"/>
  <c r="D82" i="19"/>
  <c r="F82" i="19" s="1"/>
  <c r="E113" i="19"/>
  <c r="F113" i="19" s="1"/>
  <c r="D112" i="19"/>
  <c r="D53" i="19"/>
  <c r="F53" i="19" s="1"/>
  <c r="F43" i="19"/>
  <c r="F40" i="19"/>
  <c r="D34" i="19"/>
  <c r="F44" i="19"/>
  <c r="D23" i="19"/>
  <c r="F23" i="19" s="1"/>
  <c r="F22" i="19"/>
  <c r="F21" i="19"/>
  <c r="E115" i="19"/>
  <c r="F115" i="19" s="1"/>
  <c r="E114" i="19"/>
  <c r="F114" i="19" s="1"/>
  <c r="E112" i="19"/>
  <c r="E109" i="19"/>
  <c r="F109" i="19" s="1"/>
  <c r="E108" i="19"/>
  <c r="F108" i="19" s="1"/>
  <c r="E107" i="19"/>
  <c r="F107" i="19" s="1"/>
  <c r="E106" i="19"/>
  <c r="F106" i="19" s="1"/>
  <c r="E104" i="19"/>
  <c r="F104" i="19" s="1"/>
  <c r="E103" i="19"/>
  <c r="F103" i="19" s="1"/>
  <c r="E101" i="19"/>
  <c r="F101" i="19" s="1"/>
  <c r="E100" i="19"/>
  <c r="F100" i="19" s="1"/>
  <c r="E99" i="19"/>
  <c r="F99" i="19" s="1"/>
  <c r="E98" i="19"/>
  <c r="F98" i="19" s="1"/>
  <c r="E97" i="19"/>
  <c r="F97" i="19" s="1"/>
  <c r="E96" i="19"/>
  <c r="E92" i="19"/>
  <c r="F92" i="19" s="1"/>
  <c r="E81" i="19"/>
  <c r="F81" i="19" s="1"/>
  <c r="E80" i="19"/>
  <c r="F80" i="19" s="1"/>
  <c r="E79" i="19"/>
  <c r="F79" i="19" s="1"/>
  <c r="F78" i="19"/>
  <c r="E77" i="19"/>
  <c r="F77" i="19" s="1"/>
  <c r="E76" i="19"/>
  <c r="F76" i="19" s="1"/>
  <c r="E75" i="19"/>
  <c r="F75" i="19" s="1"/>
  <c r="E74" i="19"/>
  <c r="F74" i="19" s="1"/>
  <c r="E73" i="19"/>
  <c r="F73" i="19" s="1"/>
  <c r="E72" i="19"/>
  <c r="F72" i="19" s="1"/>
  <c r="E71" i="19"/>
  <c r="F71" i="19" s="1"/>
  <c r="E68" i="19"/>
  <c r="F67" i="19"/>
  <c r="F66" i="19"/>
  <c r="F65" i="19"/>
  <c r="F64" i="19"/>
  <c r="E63" i="19"/>
  <c r="F63" i="19" s="1"/>
  <c r="F62" i="19"/>
  <c r="F61" i="19"/>
  <c r="F60" i="19"/>
  <c r="F59" i="19"/>
  <c r="F57" i="19"/>
  <c r="F52" i="19"/>
  <c r="F51" i="19"/>
  <c r="E49" i="19"/>
  <c r="F49" i="19" s="1"/>
  <c r="E48" i="19"/>
  <c r="F48" i="19" s="1"/>
  <c r="F46" i="19"/>
  <c r="E45" i="19"/>
  <c r="E42" i="19"/>
  <c r="E38" i="19"/>
  <c r="F38" i="19" s="1"/>
  <c r="F32" i="19"/>
  <c r="E31" i="19"/>
  <c r="E30" i="19"/>
  <c r="E29" i="19"/>
  <c r="E28" i="19"/>
  <c r="E25" i="19"/>
  <c r="E24" i="19"/>
  <c r="E20" i="19"/>
  <c r="E19" i="19"/>
  <c r="F15" i="19"/>
  <c r="F14" i="19"/>
  <c r="D115" i="18"/>
  <c r="E116" i="18"/>
  <c r="D97" i="18"/>
  <c r="D46" i="18"/>
  <c r="D45" i="18"/>
  <c r="D43" i="18"/>
  <c r="D42" i="18"/>
  <c r="D34" i="18"/>
  <c r="D35" i="18"/>
  <c r="D37" i="18" s="1"/>
  <c r="D36" i="18"/>
  <c r="D41" i="18" s="1"/>
  <c r="D30" i="18"/>
  <c r="D26" i="18"/>
  <c r="D25" i="18"/>
  <c r="D44" i="18" s="1"/>
  <c r="D23" i="18"/>
  <c r="D24" i="18"/>
  <c r="F22" i="18"/>
  <c r="F66" i="14"/>
  <c r="D56" i="14"/>
  <c r="D47" i="14"/>
  <c r="D46" i="14"/>
  <c r="F43" i="14"/>
  <c r="D42" i="14"/>
  <c r="F61" i="14"/>
  <c r="E62" i="14"/>
  <c r="F62" i="14" s="1"/>
  <c r="E65" i="14"/>
  <c r="F65" i="14" s="1"/>
  <c r="F63" i="14"/>
  <c r="D64" i="14"/>
  <c r="F64" i="14" s="1"/>
  <c r="E42" i="14"/>
  <c r="E52" i="14"/>
  <c r="E51" i="14"/>
  <c r="E50" i="14"/>
  <c r="E49" i="14"/>
  <c r="E48" i="14"/>
  <c r="F48" i="14" s="1"/>
  <c r="E47" i="14"/>
  <c r="E46" i="14"/>
  <c r="E56" i="14"/>
  <c r="E55" i="14"/>
  <c r="E70" i="14" s="1"/>
  <c r="E40" i="14"/>
  <c r="E39" i="14"/>
  <c r="F20" i="14" l="1"/>
  <c r="F46" i="14"/>
  <c r="F70" i="14"/>
  <c r="F75" i="14" s="1"/>
  <c r="F42" i="14"/>
  <c r="F56" i="14"/>
  <c r="F87" i="20"/>
  <c r="F26" i="18"/>
  <c r="F16" i="19"/>
  <c r="F38" i="14"/>
  <c r="F41" i="14"/>
  <c r="F23" i="14"/>
  <c r="F22" i="14"/>
  <c r="F47" i="14"/>
  <c r="F30" i="14"/>
  <c r="F35" i="14" s="1"/>
  <c r="F37" i="14"/>
  <c r="F16" i="20"/>
  <c r="F28" i="20"/>
  <c r="F30" i="20"/>
  <c r="F19" i="20"/>
  <c r="F20" i="20"/>
  <c r="F24" i="20"/>
  <c r="F36" i="20"/>
  <c r="F35" i="20"/>
  <c r="F37" i="20"/>
  <c r="F64" i="20"/>
  <c r="F26" i="20"/>
  <c r="K35" i="20"/>
  <c r="L35" i="20" s="1"/>
  <c r="F50" i="20"/>
  <c r="F51" i="20"/>
  <c r="F52" i="20"/>
  <c r="F61" i="20" s="1"/>
  <c r="F25" i="20"/>
  <c r="F42" i="20"/>
  <c r="F47" i="20" s="1"/>
  <c r="F34" i="20"/>
  <c r="F33" i="20"/>
  <c r="F31" i="20"/>
  <c r="F29" i="20"/>
  <c r="J50" i="20"/>
  <c r="F40" i="20"/>
  <c r="F65" i="20"/>
  <c r="F68" i="19"/>
  <c r="F34" i="19"/>
  <c r="F90" i="19"/>
  <c r="F56" i="19"/>
  <c r="F91" i="19"/>
  <c r="F89" i="19"/>
  <c r="F96" i="19"/>
  <c r="F20" i="19"/>
  <c r="F94" i="19"/>
  <c r="F42" i="19"/>
  <c r="F28" i="19"/>
  <c r="F112" i="19"/>
  <c r="F116" i="19" s="1"/>
  <c r="F25" i="19"/>
  <c r="F41" i="19"/>
  <c r="F58" i="19"/>
  <c r="F45" i="19"/>
  <c r="F54" i="19" s="1"/>
  <c r="F36" i="19"/>
  <c r="F33" i="19"/>
  <c r="F30" i="19"/>
  <c r="F26" i="19"/>
  <c r="F24" i="19"/>
  <c r="F19" i="19"/>
  <c r="F86" i="19"/>
  <c r="F88" i="19"/>
  <c r="F87" i="19"/>
  <c r="F35" i="19"/>
  <c r="F69" i="19"/>
  <c r="F70" i="19"/>
  <c r="F83" i="19" s="1"/>
  <c r="F37" i="19"/>
  <c r="F29" i="19"/>
  <c r="F31" i="19"/>
  <c r="F39" i="14"/>
  <c r="D50" i="14"/>
  <c r="F50" i="14" s="1"/>
  <c r="D52" i="14"/>
  <c r="F52" i="14" s="1"/>
  <c r="D51" i="14"/>
  <c r="F51" i="14" s="1"/>
  <c r="D49" i="14"/>
  <c r="F49" i="14" s="1"/>
  <c r="D59" i="14"/>
  <c r="F59" i="14" s="1"/>
  <c r="D58" i="14"/>
  <c r="F58" i="14" s="1"/>
  <c r="F57" i="14"/>
  <c r="D55" i="14"/>
  <c r="F55" i="14" s="1"/>
  <c r="F83" i="20" l="1"/>
  <c r="F88" i="20" s="1"/>
  <c r="F28" i="14"/>
  <c r="F67" i="14"/>
  <c r="F110" i="19"/>
  <c r="F117" i="19" s="1"/>
  <c r="F53" i="14"/>
  <c r="H61" i="20"/>
  <c r="J64" i="20"/>
  <c r="F40" i="14"/>
  <c r="F44" i="14" s="1"/>
  <c r="E118" i="18"/>
  <c r="E117" i="18"/>
  <c r="F117" i="18" s="1"/>
  <c r="F116" i="18"/>
  <c r="E115" i="18"/>
  <c r="F115" i="18" s="1"/>
  <c r="E112" i="18"/>
  <c r="F112" i="18" s="1"/>
  <c r="E111" i="18"/>
  <c r="F111" i="18" s="1"/>
  <c r="E110" i="18"/>
  <c r="F110" i="18" s="1"/>
  <c r="E109" i="18"/>
  <c r="F109" i="18" s="1"/>
  <c r="E107" i="18"/>
  <c r="F107" i="18" s="1"/>
  <c r="E106" i="18"/>
  <c r="F106" i="18" s="1"/>
  <c r="E104" i="18"/>
  <c r="F104" i="18" s="1"/>
  <c r="E103" i="18"/>
  <c r="F103" i="18" s="1"/>
  <c r="E102" i="18"/>
  <c r="F102" i="18" s="1"/>
  <c r="E101" i="18"/>
  <c r="F101" i="18" s="1"/>
  <c r="E100" i="18"/>
  <c r="F100" i="18" s="1"/>
  <c r="E99" i="18"/>
  <c r="F99" i="18" s="1"/>
  <c r="F97" i="18"/>
  <c r="E95" i="18"/>
  <c r="F95" i="18" s="1"/>
  <c r="F94" i="18"/>
  <c r="F93" i="18"/>
  <c r="F92" i="18"/>
  <c r="F89" i="18"/>
  <c r="E85" i="18"/>
  <c r="F85" i="18" s="1"/>
  <c r="E83" i="18"/>
  <c r="F83" i="18" s="1"/>
  <c r="E82" i="18"/>
  <c r="F82" i="18" s="1"/>
  <c r="E81" i="18"/>
  <c r="F81" i="18" s="1"/>
  <c r="E80" i="18"/>
  <c r="F80" i="18" s="1"/>
  <c r="E79" i="18"/>
  <c r="F79" i="18" s="1"/>
  <c r="E78" i="18"/>
  <c r="F78" i="18" s="1"/>
  <c r="E77" i="18"/>
  <c r="F77" i="18" s="1"/>
  <c r="E76" i="18"/>
  <c r="F76" i="18" s="1"/>
  <c r="F75" i="18"/>
  <c r="E73" i="18"/>
  <c r="F73" i="18" s="1"/>
  <c r="F72" i="18"/>
  <c r="F71" i="18"/>
  <c r="F70" i="18"/>
  <c r="E69" i="18"/>
  <c r="F69" i="18" s="1"/>
  <c r="F68" i="18"/>
  <c r="F67" i="18"/>
  <c r="F66" i="18"/>
  <c r="F62" i="18"/>
  <c r="F54" i="18"/>
  <c r="F53" i="18"/>
  <c r="F52" i="18"/>
  <c r="E50" i="18"/>
  <c r="F50" i="18" s="1"/>
  <c r="E49" i="18"/>
  <c r="F49" i="18" s="1"/>
  <c r="F48" i="18"/>
  <c r="E46" i="18"/>
  <c r="F46" i="18" s="1"/>
  <c r="E45" i="18"/>
  <c r="F45" i="18" s="1"/>
  <c r="F44" i="18"/>
  <c r="F43" i="18"/>
  <c r="E42" i="18"/>
  <c r="F42" i="18" s="1"/>
  <c r="F41" i="18"/>
  <c r="F40" i="18"/>
  <c r="F38" i="18"/>
  <c r="F37" i="18"/>
  <c r="F36" i="18"/>
  <c r="F35" i="18"/>
  <c r="F33" i="18"/>
  <c r="F32" i="18"/>
  <c r="E31" i="18"/>
  <c r="F31" i="18" s="1"/>
  <c r="E30" i="18"/>
  <c r="F30" i="18" s="1"/>
  <c r="E29" i="18"/>
  <c r="F29" i="18" s="1"/>
  <c r="E28" i="18"/>
  <c r="F28" i="18" s="1"/>
  <c r="E25" i="18"/>
  <c r="F25" i="18" s="1"/>
  <c r="E24" i="18"/>
  <c r="F24" i="18" s="1"/>
  <c r="E20" i="18"/>
  <c r="F20" i="18" s="1"/>
  <c r="E19" i="18"/>
  <c r="F19" i="18" s="1"/>
  <c r="F15" i="18"/>
  <c r="F14" i="18"/>
  <c r="F119" i="18" l="1"/>
  <c r="F76" i="14"/>
  <c r="F78" i="14" s="1"/>
  <c r="D18" i="12"/>
  <c r="F74" i="18"/>
  <c r="F65" i="18"/>
  <c r="L35" i="18"/>
  <c r="F16" i="18"/>
  <c r="F34" i="18"/>
  <c r="F60" i="18" s="1"/>
  <c r="F64" i="18"/>
  <c r="F63" i="18"/>
  <c r="F91" i="18"/>
  <c r="F90" i="18"/>
  <c r="E13" i="21" l="1"/>
  <c r="E5" i="21"/>
  <c r="E4" i="21"/>
  <c r="E3" i="21"/>
  <c r="E14" i="21"/>
  <c r="E12" i="21"/>
  <c r="E11" i="21"/>
  <c r="E10" i="21"/>
  <c r="E9" i="21"/>
  <c r="E8" i="21"/>
  <c r="E7" i="21"/>
  <c r="E6" i="21"/>
  <c r="E2" i="21"/>
  <c r="F113" i="18"/>
  <c r="F86" i="18"/>
  <c r="F77" i="14"/>
  <c r="F79" i="14" s="1"/>
  <c r="D20" i="12"/>
  <c r="F118" i="19"/>
  <c r="F119" i="19"/>
  <c r="G117" i="19"/>
  <c r="G89" i="20"/>
  <c r="F90" i="20"/>
  <c r="F89" i="20"/>
  <c r="D19" i="12"/>
  <c r="G10" i="21" l="1"/>
  <c r="G4" i="21"/>
  <c r="G3" i="21"/>
  <c r="G14" i="21"/>
  <c r="G11" i="21"/>
  <c r="G8" i="21"/>
  <c r="G5" i="21"/>
  <c r="G13" i="21"/>
  <c r="G12" i="21"/>
  <c r="G9" i="21"/>
  <c r="G7" i="21"/>
  <c r="G6" i="21"/>
  <c r="F120" i="18"/>
  <c r="G120" i="18" s="1"/>
  <c r="F120" i="19"/>
  <c r="F91" i="20"/>
  <c r="F122" i="18" l="1"/>
  <c r="F121" i="18"/>
  <c r="D21" i="12" l="1"/>
  <c r="D3" i="21"/>
  <c r="H3" i="21" s="1"/>
  <c r="D14" i="21"/>
  <c r="H14" i="21" s="1"/>
  <c r="D12" i="21"/>
  <c r="H12" i="21" s="1"/>
  <c r="D11" i="21"/>
  <c r="H11" i="21" s="1"/>
  <c r="D10" i="21"/>
  <c r="H10" i="21" s="1"/>
  <c r="D9" i="21"/>
  <c r="H9" i="21" s="1"/>
  <c r="D8" i="21"/>
  <c r="H8" i="21" s="1"/>
  <c r="D7" i="21"/>
  <c r="H7" i="21" s="1"/>
  <c r="D6" i="21"/>
  <c r="H6" i="21" s="1"/>
  <c r="D5" i="21"/>
  <c r="H5" i="21" s="1"/>
  <c r="D4" i="21"/>
  <c r="H4" i="21" s="1"/>
  <c r="D13" i="21"/>
  <c r="H13" i="21" s="1"/>
  <c r="F123" i="18"/>
  <c r="D22" i="12"/>
  <c r="F18" i="21" l="1"/>
  <c r="F19" i="21"/>
  <c r="F28" i="21"/>
  <c r="F21" i="21"/>
  <c r="F22" i="21"/>
  <c r="F23" i="21"/>
  <c r="F24" i="21"/>
  <c r="F25" i="21"/>
  <c r="F26" i="21"/>
  <c r="F27" i="21"/>
  <c r="F17" i="21"/>
  <c r="G17" i="21" s="1"/>
  <c r="G18" i="21" s="1"/>
  <c r="G19" i="21" s="1"/>
  <c r="J14" i="21"/>
  <c r="F20" i="21"/>
  <c r="D23" i="12"/>
  <c r="D24" i="12" s="1"/>
  <c r="G24" i="12" s="1"/>
  <c r="F16" i="12"/>
  <c r="G21" i="12"/>
  <c r="O21" i="12" l="1"/>
  <c r="L21" i="12"/>
  <c r="K21" i="12"/>
  <c r="J21" i="12"/>
  <c r="U21" i="12"/>
  <c r="I21" i="12"/>
  <c r="T21" i="12"/>
  <c r="S21" i="12"/>
  <c r="R21" i="12"/>
  <c r="Q21" i="12"/>
  <c r="N21" i="12"/>
  <c r="M21" i="12"/>
  <c r="P21" i="12"/>
  <c r="G20" i="21"/>
  <c r="G21" i="21"/>
  <c r="G22" i="21" s="1"/>
  <c r="G23" i="21" s="1"/>
  <c r="G24" i="21" s="1"/>
  <c r="G25" i="21" s="1"/>
  <c r="G26" i="21" s="1"/>
  <c r="G27" i="21" s="1"/>
  <c r="G28" i="21" s="1"/>
  <c r="E32" i="21" l="1"/>
  <c r="F32" i="21"/>
  <c r="F42" i="21"/>
  <c r="E43" i="21"/>
  <c r="F43" i="21"/>
  <c r="E42" i="21"/>
  <c r="E41" i="21"/>
  <c r="F34" i="21"/>
  <c r="E39" i="21"/>
  <c r="F35" i="21"/>
  <c r="F36" i="21"/>
  <c r="E40" i="21"/>
  <c r="E38" i="21"/>
  <c r="E37" i="21"/>
  <c r="F37" i="21"/>
  <c r="E36" i="21"/>
  <c r="F38" i="21"/>
  <c r="E35" i="21"/>
  <c r="F39" i="21"/>
  <c r="E34" i="21"/>
  <c r="F40" i="21"/>
  <c r="E33" i="21"/>
  <c r="F41" i="21"/>
  <c r="F33" i="21"/>
</calcChain>
</file>

<file path=xl/sharedStrings.xml><?xml version="1.0" encoding="utf-8"?>
<sst xmlns="http://schemas.openxmlformats.org/spreadsheetml/2006/main" count="1119" uniqueCount="461">
  <si>
    <t>N°</t>
  </si>
  <si>
    <t>DESIGNATION</t>
  </si>
  <si>
    <t>U</t>
  </si>
  <si>
    <t>Mobilisation/ démobilisation</t>
  </si>
  <si>
    <t>Ens</t>
  </si>
  <si>
    <t>100</t>
  </si>
  <si>
    <t>101</t>
  </si>
  <si>
    <t>102</t>
  </si>
  <si>
    <t>103</t>
  </si>
  <si>
    <t>104</t>
  </si>
  <si>
    <t>105</t>
  </si>
  <si>
    <t>106</t>
  </si>
  <si>
    <t>107</t>
  </si>
  <si>
    <t>110</t>
  </si>
  <si>
    <t>ml</t>
  </si>
  <si>
    <t>120</t>
  </si>
  <si>
    <t>121</t>
  </si>
  <si>
    <t>123</t>
  </si>
  <si>
    <t>124</t>
  </si>
  <si>
    <t>125</t>
  </si>
  <si>
    <t>131</t>
  </si>
  <si>
    <t>132</t>
  </si>
  <si>
    <t>u</t>
  </si>
  <si>
    <t>133</t>
  </si>
  <si>
    <t>200</t>
  </si>
  <si>
    <t>201</t>
  </si>
  <si>
    <t>202</t>
  </si>
  <si>
    <t>203</t>
  </si>
  <si>
    <t>300</t>
  </si>
  <si>
    <t>301</t>
  </si>
  <si>
    <t>302</t>
  </si>
  <si>
    <t>303</t>
  </si>
  <si>
    <t>304</t>
  </si>
  <si>
    <t>310</t>
  </si>
  <si>
    <t>311</t>
  </si>
  <si>
    <t>m²</t>
  </si>
  <si>
    <t>TVA 18%</t>
  </si>
  <si>
    <t>01</t>
  </si>
  <si>
    <t>02</t>
  </si>
  <si>
    <t>000</t>
  </si>
  <si>
    <t>130</t>
  </si>
  <si>
    <t>140</t>
  </si>
  <si>
    <t>141</t>
  </si>
  <si>
    <t>143</t>
  </si>
  <si>
    <t>145</t>
  </si>
  <si>
    <t>320</t>
  </si>
  <si>
    <t>134</t>
  </si>
  <si>
    <t>135</t>
  </si>
  <si>
    <t>137</t>
  </si>
  <si>
    <t>TRAVAUX PREPARATOIRE</t>
  </si>
  <si>
    <t xml:space="preserve">Béton armé pour poteaux  Yc coffrage et ferraillage </t>
  </si>
  <si>
    <t>Béton armé pour linteaux   Yc coffrage et ferraillage</t>
  </si>
  <si>
    <t xml:space="preserve">Béton armé pour chainage  Yc coffrage et ferraillage </t>
  </si>
  <si>
    <t>Charpente en bois dur</t>
  </si>
  <si>
    <t>Planche de rive 0,15 ml Yc vernis</t>
  </si>
  <si>
    <t>Faux plafond en CP de 8mm Yc structure</t>
  </si>
  <si>
    <t>Gouttière en PVC Yc fixation et descente d'eau</t>
  </si>
  <si>
    <t>Plinthe</t>
  </si>
  <si>
    <t>147</t>
  </si>
  <si>
    <t>150</t>
  </si>
  <si>
    <t>153</t>
  </si>
  <si>
    <t>M²</t>
  </si>
  <si>
    <t>Faïence  Mur intérieur Toilettes 20 x 10 cm</t>
  </si>
  <si>
    <t>Compteur d'eau / Electrique SEEG</t>
  </si>
  <si>
    <t xml:space="preserve">Lampadaire solaire </t>
  </si>
  <si>
    <t xml:space="preserve">Couverture bac alu prêt peint en bleu Yc faitière et fixation </t>
  </si>
  <si>
    <t>204</t>
  </si>
  <si>
    <t>205</t>
  </si>
  <si>
    <t>Montant Total Des Travaux Hors Taxe</t>
  </si>
  <si>
    <t>Montant Total Des Travaux TTC     XAF</t>
  </si>
  <si>
    <t>108</t>
  </si>
  <si>
    <t>109</t>
  </si>
  <si>
    <t xml:space="preserve">Clôture de chantier </t>
  </si>
  <si>
    <t>FONDATION</t>
  </si>
  <si>
    <t>Fouilles en puits et en rigoles pour semelles isolés et soubassement</t>
  </si>
  <si>
    <t>Béton de propreté sous semelles isolés et soubassement</t>
  </si>
  <si>
    <t xml:space="preserve">Béton armé pour Semelle isolés Yc coffrage et ferraillage </t>
  </si>
  <si>
    <t xml:space="preserve">Béton armé pour amorces de poteaux  Yc coffrage et ferraillage </t>
  </si>
  <si>
    <t xml:space="preserve">Béton armé pour longrine de chainage bas dallage Yc coffrage et ferraillage  </t>
  </si>
  <si>
    <t>Maçonneries de soubassement en agglos bourrés 20x20x40cm</t>
  </si>
  <si>
    <t>Remblais compacté  sous dallage</t>
  </si>
  <si>
    <t xml:space="preserve">Béton armé pour dallage  13cm (Cf.DTU 13.3 dallages) Yc coffrage, ferraillage et polyane </t>
  </si>
  <si>
    <t>ELEVATION</t>
  </si>
  <si>
    <t>Mur intérieur et extérieur en maçonnerie  parpaing 15 cm enduits deux faces</t>
  </si>
  <si>
    <t>TOITURE</t>
  </si>
  <si>
    <t>REVETEMENT</t>
  </si>
  <si>
    <t>Vernis poteau</t>
  </si>
  <si>
    <t>Carrelage   sol gré cérame 30 x 30 cm antidérapant pour les toilettes  Yc chape</t>
  </si>
  <si>
    <t>Carrelage   sol gré cérame 60 x 60 cm pour les autres pièces  Yc chape</t>
  </si>
  <si>
    <t>ELECTRICITE CFA/CFO/PLOMBERIE/CLIMATISATION/SSI/RIA</t>
  </si>
  <si>
    <t>MISE A LA TERRE DU SITE</t>
  </si>
  <si>
    <t>Piquet de terre de 2m</t>
  </si>
  <si>
    <t xml:space="preserve">Cosse  Cuivre pour connexion principale </t>
  </si>
  <si>
    <t>Barre d'equipotentialité</t>
  </si>
  <si>
    <t>Barrette de coupure</t>
  </si>
  <si>
    <t>Raccord à griffe</t>
  </si>
  <si>
    <t>206</t>
  </si>
  <si>
    <t>Cuivre nu de  16 mm²</t>
  </si>
  <si>
    <t>ML</t>
  </si>
  <si>
    <t>207</t>
  </si>
  <si>
    <t>Câble vert jaune 16 mm²</t>
  </si>
  <si>
    <t>210</t>
  </si>
  <si>
    <t>211</t>
  </si>
  <si>
    <t>FF</t>
  </si>
  <si>
    <t>220</t>
  </si>
  <si>
    <t>221</t>
  </si>
  <si>
    <t xml:space="preserve">Fourniture et pose de Fourreau annelés encastrable Ø 20 </t>
  </si>
  <si>
    <t>RLX</t>
  </si>
  <si>
    <t>Fourniture et pose de Fourreau annelés encastrable Ø 25</t>
  </si>
  <si>
    <t>Interrupteur SA encastrable OVALIS de SCHNEIDER ELECT. ou Eq.</t>
  </si>
  <si>
    <t>U</t>
    <phoneticPr fontId="2" type="noConversion"/>
  </si>
  <si>
    <t>Interrupteur va et vient encastrable OVALIS de SCHNEIDER ELECT. ou Eq.</t>
  </si>
  <si>
    <t>Prises TV encastrable   OVALIS SCHNEIDER ou Eq.</t>
  </si>
  <si>
    <t>Prises Electrique 2P+T 10/16 A encastrable  OVALIS SCHNEIDER ou Eq.</t>
  </si>
  <si>
    <t>Prises Electriques 2P+T 10/16 A encastrable   Etanche  AVEC PLASTRON type MUVERA de SCHNEIDER ELECTRIC ou Equivalent</t>
  </si>
  <si>
    <t>Appliques Sanitaires</t>
  </si>
  <si>
    <t xml:space="preserve">Réglette  étanche double 1.2m  2x18w avec  Tube LED 1200lm Philips  ou similaire technique y compris Luminaire Etanche. </t>
  </si>
  <si>
    <t>Ledvance Hublot LED 300 Blanc 24W 1920lm - 840 Blanc Froid | 300mm - IP65  ou Equivalent technique.</t>
  </si>
  <si>
    <t xml:space="preserve">Boite de dérivation  encastrable  115x115x40 </t>
  </si>
  <si>
    <t xml:space="preserve">Détecteur de fumée </t>
  </si>
  <si>
    <t>CLIMATISATION ET VENTILATION</t>
  </si>
  <si>
    <t>Fourniture et pose de climatiseur inverter LG 9 000 BTU ou Eq</t>
  </si>
  <si>
    <t>PLOMBERIE SANITAIRE</t>
  </si>
  <si>
    <t>RESEAUX EVACUATION EAUX USEES ET EAUX VANNES</t>
  </si>
  <si>
    <t>DN 100 (mm)</t>
  </si>
  <si>
    <t>DN 63 (mm)</t>
  </si>
  <si>
    <t>DN 32 (mm)</t>
  </si>
  <si>
    <t>Fourniture des siphons de sol de dimension 100x100 (mm) dans les salles de bain</t>
  </si>
  <si>
    <t>RESEAUX EVACUATION DES EAUX PLUVIALES</t>
  </si>
  <si>
    <t xml:space="preserve">Canalisations des EP en tuyau PVC Normalise de diamètre 100 (mm) </t>
  </si>
  <si>
    <t>ALIMENTATION EN EAU FROIDE SANITAIRE</t>
  </si>
  <si>
    <t>,</t>
  </si>
  <si>
    <t>Canalisations EC-EF en tuyau PER pré gainés bleu DN 13X16 mm</t>
  </si>
  <si>
    <t>Coffret et supports pour collecteurs DIM 400 x 250 x 90   y/c ttes sujétions de pose</t>
  </si>
  <si>
    <t>Collecteur équipé de vanne Ø1/2" de 3 D</t>
  </si>
  <si>
    <t>Vanne d'arrêt entrée principale collecteurs Ø3/4"  FF</t>
  </si>
  <si>
    <t>Vanne de Purge Ø 20 (mm)</t>
  </si>
  <si>
    <t>Robinets de puisage extérieur DN20 (mm)</t>
  </si>
  <si>
    <t>APPAREILLAGES SANITAIRES</t>
  </si>
  <si>
    <t xml:space="preserve">Cuvette de WC à l'anglaise  de JACOB DELAFON  </t>
  </si>
  <si>
    <t xml:space="preserve">Lavabo de 45 sur colonne de marque JACOB DELAFON </t>
  </si>
  <si>
    <t>ACCESSOIRES SANITAIRES</t>
  </si>
  <si>
    <t>Porte papier hygiénique</t>
  </si>
  <si>
    <t>Porte-balai et balai hygiénique y/c vis de fixation et ttes sujétions  de pose</t>
  </si>
  <si>
    <t>Porte savon  y/c vis de fixation et ttes sujétions</t>
  </si>
  <si>
    <t xml:space="preserve">Miroir DIM 0.60 m  x 0,80m  y/c vis de fixation et ttes sujétions. </t>
  </si>
  <si>
    <t>Sous total Plomberie Sanitaires</t>
  </si>
  <si>
    <t>400</t>
  </si>
  <si>
    <t>401</t>
  </si>
  <si>
    <t>402</t>
  </si>
  <si>
    <t>403</t>
  </si>
  <si>
    <t>404</t>
  </si>
  <si>
    <t>405</t>
  </si>
  <si>
    <t>406</t>
  </si>
  <si>
    <t>500</t>
  </si>
  <si>
    <t xml:space="preserve">AMENAGEMENT EXTERIEUR </t>
  </si>
  <si>
    <t>501</t>
  </si>
  <si>
    <t>502</t>
  </si>
  <si>
    <t>Espace vert (y compris apport de terre noire et gazon en fourniture et pose)</t>
  </si>
  <si>
    <r>
      <t>m</t>
    </r>
    <r>
      <rPr>
        <sz val="8"/>
        <rFont val="Calibri"/>
        <family val="2"/>
      </rPr>
      <t>²</t>
    </r>
  </si>
  <si>
    <t>503</t>
  </si>
  <si>
    <t>504</t>
  </si>
  <si>
    <t>505</t>
  </si>
  <si>
    <t>506</t>
  </si>
  <si>
    <r>
      <t>Fosse septique de 10m</t>
    </r>
    <r>
      <rPr>
        <sz val="8"/>
        <rFont val="Calibri"/>
        <family val="2"/>
      </rPr>
      <t>³</t>
    </r>
  </si>
  <si>
    <t>507</t>
  </si>
  <si>
    <t>508</t>
  </si>
  <si>
    <t>509</t>
  </si>
  <si>
    <t>510</t>
  </si>
  <si>
    <t xml:space="preserve">Regards en béton armé dim.50x50cm avec couverture dalle </t>
  </si>
  <si>
    <t>511</t>
  </si>
  <si>
    <t xml:space="preserve">Sous total Aménagement Extérieur </t>
  </si>
  <si>
    <t>600</t>
  </si>
  <si>
    <t>CNSS</t>
  </si>
  <si>
    <t>156</t>
  </si>
  <si>
    <t>DQE CNSS</t>
  </si>
  <si>
    <t>Charles MEFANE</t>
  </si>
  <si>
    <t>DQE R+1 LNLM</t>
  </si>
  <si>
    <t>Fft</t>
  </si>
  <si>
    <t>7500 ml</t>
  </si>
  <si>
    <t>chutes EP 21000</t>
  </si>
  <si>
    <t>m2</t>
  </si>
  <si>
    <t>111</t>
  </si>
  <si>
    <t>112</t>
  </si>
  <si>
    <t>114</t>
  </si>
  <si>
    <t>115</t>
  </si>
  <si>
    <t>200-a</t>
  </si>
  <si>
    <t>Travaux de cheminement électrique</t>
  </si>
  <si>
    <t>ens</t>
  </si>
  <si>
    <t>200-b</t>
  </si>
  <si>
    <t>Travaux de distribution</t>
  </si>
  <si>
    <t>Travaux de protection</t>
  </si>
  <si>
    <t>200-d</t>
  </si>
  <si>
    <t>Travaux d'installation des appareillages (hors items 221, 280 et série 250 déjà inclus en main d'oeuvre)</t>
  </si>
  <si>
    <t>300-a</t>
  </si>
  <si>
    <t>Travaux de cheminement plomberie</t>
  </si>
  <si>
    <t>300-b</t>
  </si>
  <si>
    <t>300-c</t>
  </si>
  <si>
    <t>Travaux d'installation des appareillages</t>
  </si>
  <si>
    <t>5,80m</t>
  </si>
  <si>
    <t>5,8m</t>
  </si>
  <si>
    <t>5,8M</t>
  </si>
  <si>
    <t>INSTALLATION DE CHANTIER</t>
  </si>
  <si>
    <t>Installation de chantier, amenée et repli du matériel</t>
  </si>
  <si>
    <t xml:space="preserve">Déplacement des réseaux enterrés </t>
  </si>
  <si>
    <t>Etudes Topographiques ( projet d'Exécution )</t>
  </si>
  <si>
    <t>Etudes Géotechniques ( projet d'Exécution )</t>
  </si>
  <si>
    <t>Projet d'exécution incluant l'établissement et mise à disposition d'un plan de recolement en fin de travaux</t>
  </si>
  <si>
    <t>Etude impact environnemental et societal</t>
  </si>
  <si>
    <t>Suivi topographique du projet incluant la mise à disposition d'une équipe Topo</t>
  </si>
  <si>
    <t>Ens.</t>
  </si>
  <si>
    <t>Débroussaillement avec essouchement</t>
  </si>
  <si>
    <t>Débroussaillement sans essouchement</t>
  </si>
  <si>
    <t>Décapage de la terre végétale sur ép. 20 cm</t>
  </si>
  <si>
    <t>Sous total 000</t>
  </si>
  <si>
    <t>Sous total 100</t>
  </si>
  <si>
    <t>TERRASSEMENT</t>
  </si>
  <si>
    <t>Déblai en terrain de toute nature</t>
  </si>
  <si>
    <t>Déblai en terrain rocheux</t>
  </si>
  <si>
    <t>Remblai en matériaux provenant d'emprunt</t>
  </si>
  <si>
    <t>Mise en forme et compactage de la plateforme supérieure des terrassements (PST)</t>
  </si>
  <si>
    <t>Fourniture et mise en oeuvre de fondation en  latérite y/c compactage ép. 15 cm</t>
  </si>
  <si>
    <t>Fourniture et mise en oeuvre de géotextile anticontaminant</t>
  </si>
  <si>
    <r>
      <t>Fourniture et mise en oeuvre de film polyane 200</t>
    </r>
    <r>
      <rPr>
        <sz val="9"/>
        <color theme="1"/>
        <rFont val="Aptos Narrow"/>
        <family val="2"/>
      </rPr>
      <t>µ</t>
    </r>
  </si>
  <si>
    <t>SECURITE ET SIGNALISATION</t>
  </si>
  <si>
    <t>ASSAINISSEMENT</t>
  </si>
  <si>
    <t>Ligne continue, largeur 12 cm (type BBC)</t>
  </si>
  <si>
    <t>Ligne de rive discontinue 12 cm</t>
  </si>
  <si>
    <t>Bandes larges type stop ou passages pietons recto-réflechissantes (Type T2)</t>
  </si>
  <si>
    <t>Trottoire en béton de ciment de 10 cm d'épaisseur dosé à 350kg/m3</t>
  </si>
  <si>
    <t xml:space="preserve">Enrochement </t>
  </si>
  <si>
    <t>Fourniture et pose de descente d'eau</t>
  </si>
  <si>
    <t xml:space="preserve">Fourniture et pose de bordure CS2 </t>
  </si>
  <si>
    <t>Fourniture et pose de bordure de type T2</t>
  </si>
  <si>
    <t>Création de regards de dimensions moyennes 80x80</t>
  </si>
  <si>
    <t>m3xkm</t>
  </si>
  <si>
    <t xml:space="preserve">Fourniture et pose de Caniveaux 40x40   </t>
  </si>
  <si>
    <t xml:space="preserve">Ouvrage de tête de dalot 250x250 </t>
  </si>
  <si>
    <t>ROUTE/CHAUSSEE + PARKING</t>
  </si>
  <si>
    <t xml:space="preserve">Fourniture et pose de dallettes pour caniveaux 40x40 </t>
  </si>
  <si>
    <t>CSS (1%)</t>
  </si>
  <si>
    <r>
      <t>m</t>
    </r>
    <r>
      <rPr>
        <vertAlign val="superscript"/>
        <sz val="9"/>
        <color theme="1"/>
        <rFont val="Arial"/>
        <family val="2"/>
      </rPr>
      <t>3</t>
    </r>
  </si>
  <si>
    <t>Panneau  STOP de 0.60 m (Fin de la route, intersection avec une autre voie)</t>
  </si>
  <si>
    <t>Panneau circulaire de 0.65 m de diamètre (limitation de vitesse, interdictions))</t>
  </si>
  <si>
    <t>Panneau triangulaire de 0.70 m (ralentisseur, intersection, etc)</t>
  </si>
  <si>
    <t>Peinture de marquage au sol parking</t>
  </si>
  <si>
    <r>
      <t>m</t>
    </r>
    <r>
      <rPr>
        <vertAlign val="superscript"/>
        <sz val="9"/>
        <color theme="1"/>
        <rFont val="Arial"/>
        <family val="2"/>
      </rPr>
      <t>2</t>
    </r>
  </si>
  <si>
    <t>Stabilisation de talus en perrés maçonné</t>
  </si>
  <si>
    <t>Ligne de rive discontinue type T1 (2U)</t>
  </si>
  <si>
    <t>PM</t>
  </si>
  <si>
    <t>BATIMENT CENTRE DE PECHE</t>
  </si>
  <si>
    <t>Poteau en bois dur 0,30 x 0,20 x 3,720 Yc socle pré peint</t>
  </si>
  <si>
    <t>Peinture et enduit extérieur et interieursur mur</t>
  </si>
  <si>
    <t>Peinture sur faux plafond</t>
  </si>
  <si>
    <t>Bloc Porte double extérieur  2,10 x 1,50</t>
  </si>
  <si>
    <t>Bloc Porte intérieur toilette  2,10 x 0,70</t>
  </si>
  <si>
    <t>Bloc Porte intérieur   2,10 x 0,90</t>
  </si>
  <si>
    <t xml:space="preserve">Porte coulisante en baie vitree 2,10 x 1,50 </t>
  </si>
  <si>
    <t>Fenêtre alu coulissante  1,00 x 1,100</t>
  </si>
  <si>
    <t>Fenêtre alu coulissante  1,200 x 1,100</t>
  </si>
  <si>
    <t>Fenêtre alu coulissante  0,60 x 0,80</t>
  </si>
  <si>
    <t>Fenêtre alu coulissante  0,50 x 1,10</t>
  </si>
  <si>
    <t>MENUISERIE BOIS/ALU/METALLIQUE</t>
  </si>
  <si>
    <r>
      <t>Fosse septique de 5m</t>
    </r>
    <r>
      <rPr>
        <sz val="8"/>
        <rFont val="Calibri"/>
        <family val="2"/>
      </rPr>
      <t>³</t>
    </r>
  </si>
  <si>
    <t>RESTAURANT BAR</t>
  </si>
  <si>
    <t>Porte coulisante en baie vitree 2,10 x 3,00</t>
  </si>
  <si>
    <t>Rambarde metallique</t>
  </si>
  <si>
    <t>Brasseur d'air de plafond</t>
  </si>
  <si>
    <t>Escalier en beton pour acces au ponton</t>
  </si>
  <si>
    <t>REALISATION D'UN PONTON</t>
  </si>
  <si>
    <t>Enrochement pour protection de ponton</t>
  </si>
  <si>
    <t>MONTANT</t>
  </si>
  <si>
    <t>UNITE</t>
  </si>
  <si>
    <t>QUANTITE</t>
  </si>
  <si>
    <t>PRIX UNITAIRE</t>
  </si>
  <si>
    <t>DETAIL QUANTITATIF ESTIMATIF</t>
  </si>
  <si>
    <t>TRAVAUX BATIMENT</t>
  </si>
  <si>
    <t xml:space="preserve">Sous total travaux bâtiment </t>
  </si>
  <si>
    <t xml:space="preserve">Sous total travaux préparatoire </t>
  </si>
  <si>
    <t>Sous total travaux Electrique</t>
  </si>
  <si>
    <t>Montant Total Des Travaux HT</t>
  </si>
  <si>
    <t>CCS (1%)</t>
  </si>
  <si>
    <t xml:space="preserve">Montant Total Des Travaux TTC  </t>
  </si>
  <si>
    <t>Démarche administrative de branchement (hors actions futures associées)</t>
  </si>
  <si>
    <r>
      <t>Circuits Prises Electriques Normales, &amp; Unité de Climatisation Câbles U1000R2V 3G2.5 mm</t>
    </r>
    <r>
      <rPr>
        <b/>
        <i/>
        <vertAlign val="superscript"/>
        <sz val="8"/>
        <rFont val="Arial"/>
        <family val="2"/>
      </rPr>
      <t>2</t>
    </r>
  </si>
  <si>
    <t>PRIX UNITTAIRE</t>
  </si>
  <si>
    <t xml:space="preserve">Sous total travaux Electrique </t>
  </si>
  <si>
    <t xml:space="preserve">Montant Total Des Travaux TTC </t>
  </si>
  <si>
    <t>N°POSTE</t>
  </si>
  <si>
    <t>MONTANTS</t>
  </si>
  <si>
    <t>TVA (18%)</t>
  </si>
  <si>
    <t>MONTANT TOTAL TTC</t>
  </si>
  <si>
    <t>L'ADMINISTRATEUR DIRECTEUR GENERAL</t>
  </si>
  <si>
    <t>Patrice REVANGUE ZAVROSA</t>
  </si>
  <si>
    <t>TOTAL HT</t>
  </si>
  <si>
    <r>
      <t>m</t>
    </r>
    <r>
      <rPr>
        <vertAlign val="superscript"/>
        <sz val="9"/>
        <rFont val="Arial"/>
        <family val="2"/>
      </rPr>
      <t>2</t>
    </r>
  </si>
  <si>
    <r>
      <t>m</t>
    </r>
    <r>
      <rPr>
        <vertAlign val="superscript"/>
        <sz val="8"/>
        <rFont val="Arial"/>
        <family val="2"/>
      </rPr>
      <t>3</t>
    </r>
  </si>
  <si>
    <r>
      <t>m</t>
    </r>
    <r>
      <rPr>
        <vertAlign val="superscript"/>
        <sz val="8"/>
        <rFont val="Arial"/>
        <family val="2"/>
      </rPr>
      <t>2</t>
    </r>
  </si>
  <si>
    <t>001</t>
  </si>
  <si>
    <t>002</t>
  </si>
  <si>
    <t>004</t>
  </si>
  <si>
    <t>005</t>
  </si>
  <si>
    <t>006</t>
  </si>
  <si>
    <t>007</t>
  </si>
  <si>
    <t>008</t>
  </si>
  <si>
    <t>113</t>
  </si>
  <si>
    <t>Sous total 200</t>
  </si>
  <si>
    <t>305</t>
  </si>
  <si>
    <t>307</t>
  </si>
  <si>
    <t>308</t>
  </si>
  <si>
    <t>Sous total 300</t>
  </si>
  <si>
    <t>407</t>
  </si>
  <si>
    <t xml:space="preserve">Sous total 400 </t>
  </si>
  <si>
    <t>512</t>
  </si>
  <si>
    <t>Sous total 500</t>
  </si>
  <si>
    <t>601</t>
  </si>
  <si>
    <t>602</t>
  </si>
  <si>
    <t>603</t>
  </si>
  <si>
    <t>604</t>
  </si>
  <si>
    <t>605</t>
  </si>
  <si>
    <t>Sous total 600</t>
  </si>
  <si>
    <t>Dalle en beton armé pour ponton</t>
  </si>
  <si>
    <t>Sous total travaux préparatoire</t>
  </si>
  <si>
    <t xml:space="preserve">Béton armé pour dallage  13cm Yc coffrage, ferraillage et polyane </t>
  </si>
  <si>
    <t>t</t>
  </si>
  <si>
    <t>Fenêtre en baie vitrée  0,60 x 0,60</t>
  </si>
  <si>
    <t>Bloc Porte intérieur   2,00 x 0,70</t>
  </si>
  <si>
    <t>Fenêtre en baie vitrée  2,00 x 1,00</t>
  </si>
  <si>
    <t>Amenagement allée en béton de ciment</t>
  </si>
  <si>
    <t>Peinture et enduit extérieur et interieur sur mur</t>
  </si>
  <si>
    <t>Bloc Porte intérieur toilette  2,00 x 0,70</t>
  </si>
  <si>
    <t>Bloc Porte intérieur   2,00 x 0,90</t>
  </si>
  <si>
    <t>Fenêtre alu coulissante  1,00 x 1,00</t>
  </si>
  <si>
    <t>Vernis sur poteau</t>
  </si>
  <si>
    <t>116</t>
  </si>
  <si>
    <t>117</t>
  </si>
  <si>
    <t>118</t>
  </si>
  <si>
    <t>119</t>
  </si>
  <si>
    <t>122</t>
  </si>
  <si>
    <t>126</t>
  </si>
  <si>
    <t>127</t>
  </si>
  <si>
    <t>128</t>
  </si>
  <si>
    <t>129</t>
  </si>
  <si>
    <t>136</t>
  </si>
  <si>
    <t>VESTIAIRES</t>
  </si>
  <si>
    <t>Fouilles en en rigoles et en puits pour semelles isolés et soubassement</t>
  </si>
  <si>
    <t>Abattage d'arbres de diamètre supérieur à 60cm</t>
  </si>
  <si>
    <t>Démolition et reconstruction partielle de maisons en planche</t>
  </si>
  <si>
    <t>U.</t>
  </si>
  <si>
    <t>2</t>
  </si>
  <si>
    <t xml:space="preserve">Plus value de transport de la latérite pour des distances supérieures à 7 km </t>
  </si>
  <si>
    <t>Fourniture et mise en oeuvre grave non traitée (GNT) ép. 15 cm</t>
  </si>
  <si>
    <t>Dalot 250x250 sur axe Ntoum - Donguila</t>
  </si>
  <si>
    <t>Béton armé dosé à 350kg/m3 pour ouvrages divers</t>
  </si>
  <si>
    <t>Remblai en latérite compacté pour ponton</t>
  </si>
  <si>
    <t>m3</t>
  </si>
  <si>
    <t>Fourniture et mise en œuvre de geotextile anticontaminant pour protection remblai corps de la digue</t>
  </si>
  <si>
    <t>606</t>
  </si>
  <si>
    <t>Revêtement  en BB y compris accrochage pour route y/c espace parking suivant plan  ep=6 cm</t>
  </si>
  <si>
    <t xml:space="preserve">Béton armé pour Semelles Yc coffrage et ferraillage </t>
  </si>
  <si>
    <t>208</t>
  </si>
  <si>
    <t>209</t>
  </si>
  <si>
    <t xml:space="preserve">Cuvette de WC à l'anglaise </t>
  </si>
  <si>
    <t>Lavabo de 45 sur colonne</t>
  </si>
  <si>
    <t>Carrelage   sol 30 x 30 cm antidérapant pour les toilettes  Yc chape</t>
  </si>
  <si>
    <t>Fourniture et pose du TGBT</t>
  </si>
  <si>
    <t>212</t>
  </si>
  <si>
    <t>213</t>
  </si>
  <si>
    <t>214</t>
  </si>
  <si>
    <t>215</t>
  </si>
  <si>
    <t>216</t>
  </si>
  <si>
    <t>217</t>
  </si>
  <si>
    <t>218</t>
  </si>
  <si>
    <t>219</t>
  </si>
  <si>
    <t>222</t>
  </si>
  <si>
    <t>223</t>
  </si>
  <si>
    <t>224</t>
  </si>
  <si>
    <t>225</t>
  </si>
  <si>
    <t>226</t>
  </si>
  <si>
    <t>227</t>
  </si>
  <si>
    <t>142</t>
  </si>
  <si>
    <t xml:space="preserve">CHAMBRE FROIDE </t>
  </si>
  <si>
    <t>u.</t>
  </si>
  <si>
    <t>Fourniture et installation de pondeuse à glace</t>
  </si>
  <si>
    <t>Fourniture et installation d'une chambre froide négative</t>
  </si>
  <si>
    <t>PROJET DE CONSTRUCTION D'UN CENTRE D'APPUI A LA PECHE ARTISANALE A DONGUILA</t>
  </si>
  <si>
    <t>Mercredi, 07 Mai 2025</t>
  </si>
  <si>
    <t>N ° de Devis BYR/3MD/LAN/GAO/JAD/PRZ/004/05/25</t>
  </si>
  <si>
    <t>306</t>
  </si>
  <si>
    <t>309</t>
  </si>
  <si>
    <t>312</t>
  </si>
  <si>
    <t>313</t>
  </si>
  <si>
    <t>314</t>
  </si>
  <si>
    <t>315</t>
  </si>
  <si>
    <t>316</t>
  </si>
  <si>
    <t>317</t>
  </si>
  <si>
    <t>318</t>
  </si>
  <si>
    <t>319</t>
  </si>
  <si>
    <t>321</t>
  </si>
  <si>
    <t>Arrêté le présent DQE à la somme TTC de:   cent trente-trois millions quatre cent un mille six cent quatre Francs CFA</t>
  </si>
  <si>
    <t>N° de Devis BYR/3MD/LAN/GAO/JAD/PRZ/004/05/25</t>
  </si>
  <si>
    <t>Arrêté le présent DQE à la somme TTC de:   quarante-quatre millions cent quarante-quatre mille soixante-quatre francs CFA</t>
  </si>
  <si>
    <t xml:space="preserve"> </t>
  </si>
  <si>
    <t>138</t>
  </si>
  <si>
    <t>139</t>
  </si>
  <si>
    <t>Arrêté le présent DQE à la somme TTC de:    six cent deux millions six cent six mille cent soixante et onze francs CFA</t>
  </si>
  <si>
    <t>Arrêté le présent DQE à la somme TTC de:   neuf cent soixante-quinze millions six cent cinquante-huit mille trois cent soixante-huit francs CFA</t>
  </si>
  <si>
    <t>CONSTRUCTION D'UNE ROUTE / PARKING / PONTON</t>
  </si>
  <si>
    <t>Arrêté le présent DQE à la somme TTC de:   cent quatre-vingt-quinze millions cinq cent six mille cinq cent vingt-neuf francs CFA</t>
  </si>
  <si>
    <t>N ° de Devis BYR/3MD/LAN/GAO/JOA/PRZ/004/05/25</t>
  </si>
  <si>
    <t>Projection de CA</t>
  </si>
  <si>
    <t>Activité</t>
  </si>
  <si>
    <t>Centre de Pêche</t>
  </si>
  <si>
    <t>Restaurant</t>
  </si>
  <si>
    <t>Vestiaires</t>
  </si>
  <si>
    <t>Route/parking/ponton</t>
  </si>
  <si>
    <t>Phase du projet</t>
  </si>
  <si>
    <t>Intitulé</t>
  </si>
  <si>
    <t>% cumulé d’avancement</t>
  </si>
  <si>
    <t>Études préliminaires / faisabilité</t>
  </si>
  <si>
    <t>APD (Avant-Projet Détaillé)</t>
  </si>
  <si>
    <t>PRO (Projet d’Exécution)</t>
  </si>
  <si>
    <t>DCE / Consultation</t>
  </si>
  <si>
    <t>Installation de chantier</t>
  </si>
  <si>
    <t>Terrassements généraux</t>
  </si>
  <si>
    <t>Fondations / plateformes</t>
  </si>
  <si>
    <t>Gros œuvre / ouvrages principaux</t>
  </si>
  <si>
    <t>Superstructures / équipements</t>
  </si>
  <si>
    <t>Second œuvre / voiries / réseaux</t>
  </si>
  <si>
    <t>Finitions et essais</t>
  </si>
  <si>
    <t>Réception provisoire</t>
  </si>
  <si>
    <t>Réception définitive / livraison</t>
  </si>
  <si>
    <t>Restaurant Bar</t>
  </si>
  <si>
    <t>Construction R/P/P</t>
  </si>
  <si>
    <t>Total CA</t>
  </si>
  <si>
    <t>Mois</t>
  </si>
  <si>
    <t>Phase projet</t>
  </si>
  <si>
    <t>Avancement cumul (%)</t>
  </si>
  <si>
    <t>CA mensuel (%)</t>
  </si>
  <si>
    <t>CA cumulé (%)</t>
  </si>
  <si>
    <t>Études / Installation</t>
  </si>
  <si>
    <t>Terrassement / Base vie</t>
  </si>
  <si>
    <t>Gros œuvre 1</t>
  </si>
  <si>
    <t>Gros œuvre 2</t>
  </si>
  <si>
    <t>Structure principale</t>
  </si>
  <si>
    <t>Pic de production</t>
  </si>
  <si>
    <t>Corps d’état secondaires</t>
  </si>
  <si>
    <t>Finitions 1</t>
  </si>
  <si>
    <t>Finitions 2</t>
  </si>
  <si>
    <t>Essais / Réserves</t>
  </si>
  <si>
    <t>Réception / Clôture</t>
  </si>
  <si>
    <t>CA prévu</t>
  </si>
  <si>
    <t>CA réel</t>
  </si>
  <si>
    <t>Écart</t>
  </si>
  <si>
    <t>Avancement prévu</t>
  </si>
  <si>
    <t>Avancement réel</t>
  </si>
  <si>
    <t>Commentaire</t>
  </si>
  <si>
    <t>Production Mensuelle</t>
  </si>
  <si>
    <t>CA mensuel HT</t>
  </si>
  <si>
    <t>CA cumulé HT</t>
  </si>
  <si>
    <t>Total Exécuté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</si>
</sst>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43" formatCode="_-* #,##0.00_-;\-* #,##0.00_-;_-* &quot;-&quot;??_-;_-@_-"/>
    <numFmt numFmtId="164" formatCode="_-* #,##0\ _€_-;\-* #,##0\ _€_-;_-* &quot;-&quot;??\ _€_-;_-@_-"/>
    <numFmt numFmtId="165" formatCode="_-* #,##0_-;\-* #,##0_-;_-* &quot;-&quot;??_-;_-@_-"/>
    <numFmt numFmtId="166" formatCode="0.0"/>
    <numFmt numFmtId="167" formatCode="_-* #,##0\ [$XAF]_-;\-* #,##0\ [$XAF]_-;_-* &quot;-&quot;??\ [$XAF]_-;_-@_-"/>
    <numFmt numFmtId="168" formatCode="#,##0_ ;\-#,##0\ "/>
    <numFmt numFmtId="169" formatCode="#,##0\ _€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name val="Arial"/>
      <family val="2"/>
    </font>
    <font>
      <sz val="9"/>
      <color theme="1"/>
      <name val="Arial"/>
      <family val="2"/>
    </font>
    <font>
      <b/>
      <sz val="8"/>
      <color indexed="12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color indexed="12"/>
      <name val="Arial"/>
      <family val="2"/>
    </font>
    <font>
      <sz val="8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9"/>
      <color indexed="8"/>
      <name val="Arial"/>
      <family val="2"/>
    </font>
    <font>
      <b/>
      <sz val="9"/>
      <color rgb="FF000000"/>
      <name val="Arial"/>
      <family val="2"/>
    </font>
    <font>
      <sz val="9"/>
      <color indexed="8"/>
      <name val="Arial"/>
      <family val="2"/>
    </font>
    <font>
      <b/>
      <sz val="9"/>
      <name val="Arial"/>
      <family val="2"/>
    </font>
    <font>
      <b/>
      <sz val="14"/>
      <color indexed="8"/>
      <name val="Arial"/>
      <family val="2"/>
    </font>
    <font>
      <b/>
      <sz val="16"/>
      <color indexed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  <scheme val="minor"/>
    </font>
    <font>
      <vertAlign val="superscript"/>
      <sz val="8"/>
      <name val="Arial"/>
      <family val="2"/>
    </font>
    <font>
      <sz val="8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theme="1"/>
      <name val="Aptos Narrow"/>
      <family val="2"/>
    </font>
    <font>
      <vertAlign val="superscript"/>
      <sz val="9"/>
      <color theme="1"/>
      <name val="Arial"/>
      <family val="2"/>
    </font>
    <font>
      <sz val="11"/>
      <color indexed="8"/>
      <name val="Arial"/>
      <family val="2"/>
    </font>
    <font>
      <u/>
      <sz val="12"/>
      <color rgb="FF000000"/>
      <name val="Arial"/>
      <family val="2"/>
    </font>
    <font>
      <b/>
      <i/>
      <vertAlign val="superscript"/>
      <sz val="8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Arial"/>
      <family val="2"/>
    </font>
    <font>
      <u/>
      <sz val="12"/>
      <color theme="1"/>
      <name val="Arial"/>
      <family val="2"/>
    </font>
    <font>
      <vertAlign val="superscript"/>
      <sz val="9"/>
      <name val="Arial"/>
      <family val="2"/>
    </font>
    <font>
      <b/>
      <u/>
      <sz val="14"/>
      <color rgb="FF000000"/>
      <name val="Arial"/>
      <family val="2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0"/>
      <color theme="1"/>
      <name val="Century Gothic"/>
      <family val="2"/>
    </font>
    <font>
      <sz val="10"/>
      <color theme="1"/>
      <name val="Century Gothic"/>
      <family val="2"/>
    </font>
    <font>
      <sz val="10"/>
      <color theme="0"/>
      <name val="Century Gothic"/>
      <family val="2"/>
    </font>
    <font>
      <b/>
      <sz val="10"/>
      <color theme="0"/>
      <name val="Century Gothic"/>
      <family val="2"/>
    </font>
    <font>
      <sz val="10"/>
      <color rgb="FFC00000"/>
      <name val="Century Gothic"/>
      <family val="2"/>
    </font>
    <font>
      <b/>
      <sz val="9"/>
      <color rgb="FFC00000"/>
      <name val="Arial"/>
      <family val="2"/>
    </font>
    <font>
      <b/>
      <u val="singleAccounting"/>
      <sz val="11"/>
      <color theme="1"/>
      <name val="Century Gothic"/>
      <family val="2"/>
    </font>
    <font>
      <sz val="9"/>
      <color rgb="FFC00000"/>
      <name val="Arial"/>
      <family val="2"/>
    </font>
    <font>
      <b/>
      <u/>
      <sz val="11"/>
      <color theme="1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49" fontId="13" fillId="2" borderId="0">
      <alignment horizontal="left" vertical="top" wrapText="1"/>
    </xf>
    <xf numFmtId="0" fontId="18" fillId="0" borderId="0"/>
    <xf numFmtId="0" fontId="18" fillId="0" borderId="0"/>
    <xf numFmtId="0" fontId="18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5">
    <xf numFmtId="0" fontId="0" fillId="0" borderId="0" xfId="0"/>
    <xf numFmtId="0" fontId="8" fillId="2" borderId="0" xfId="0" applyFont="1" applyFill="1" applyAlignment="1">
      <alignment wrapText="1"/>
    </xf>
    <xf numFmtId="0" fontId="8" fillId="2" borderId="0" xfId="0" applyFont="1" applyFill="1"/>
    <xf numFmtId="0" fontId="8" fillId="2" borderId="0" xfId="0" applyFont="1" applyFill="1" applyAlignment="1">
      <alignment horizontal="center"/>
    </xf>
    <xf numFmtId="0" fontId="8" fillId="2" borderId="18" xfId="0" applyFont="1" applyFill="1" applyBorder="1" applyAlignment="1">
      <alignment wrapText="1"/>
    </xf>
    <xf numFmtId="0" fontId="8" fillId="2" borderId="18" xfId="0" applyFont="1" applyFill="1" applyBorder="1" applyAlignment="1">
      <alignment horizontal="center"/>
    </xf>
    <xf numFmtId="0" fontId="8" fillId="2" borderId="18" xfId="0" applyFont="1" applyFill="1" applyBorder="1"/>
    <xf numFmtId="0" fontId="2" fillId="4" borderId="20" xfId="3" applyFont="1" applyFill="1" applyBorder="1"/>
    <xf numFmtId="0" fontId="19" fillId="4" borderId="5" xfId="3" applyFont="1" applyFill="1" applyBorder="1"/>
    <xf numFmtId="0" fontId="2" fillId="4" borderId="22" xfId="3" applyFont="1" applyFill="1" applyBorder="1"/>
    <xf numFmtId="0" fontId="2" fillId="4" borderId="23" xfId="3" applyFont="1" applyFill="1" applyBorder="1"/>
    <xf numFmtId="43" fontId="2" fillId="4" borderId="23" xfId="1" applyFont="1" applyFill="1" applyBorder="1"/>
    <xf numFmtId="3" fontId="2" fillId="4" borderId="24" xfId="3" applyNumberFormat="1" applyFont="1" applyFill="1" applyBorder="1"/>
    <xf numFmtId="49" fontId="6" fillId="4" borderId="28" xfId="0" applyNumberFormat="1" applyFont="1" applyFill="1" applyBorder="1" applyAlignment="1">
      <alignment horizontal="center" vertical="center"/>
    </xf>
    <xf numFmtId="167" fontId="0" fillId="0" borderId="0" xfId="0" applyNumberFormat="1"/>
    <xf numFmtId="49" fontId="2" fillId="2" borderId="28" xfId="0" applyNumberFormat="1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 wrapText="1"/>
    </xf>
    <xf numFmtId="0" fontId="2" fillId="2" borderId="28" xfId="0" applyFont="1" applyFill="1" applyBorder="1" applyAlignment="1">
      <alignment horizontal="center" vertical="center"/>
    </xf>
    <xf numFmtId="166" fontId="2" fillId="2" borderId="28" xfId="0" applyNumberFormat="1" applyFont="1" applyFill="1" applyBorder="1" applyAlignment="1">
      <alignment horizontal="center" vertical="center"/>
    </xf>
    <xf numFmtId="49" fontId="2" fillId="3" borderId="28" xfId="0" applyNumberFormat="1" applyFont="1" applyFill="1" applyBorder="1" applyAlignment="1">
      <alignment horizontal="center" vertical="center"/>
    </xf>
    <xf numFmtId="49" fontId="2" fillId="3" borderId="28" xfId="0" applyNumberFormat="1" applyFont="1" applyFill="1" applyBorder="1" applyAlignment="1">
      <alignment horizontal="left" vertical="center"/>
    </xf>
    <xf numFmtId="49" fontId="19" fillId="4" borderId="28" xfId="0" applyNumberFormat="1" applyFont="1" applyFill="1" applyBorder="1" applyAlignment="1">
      <alignment horizontal="center" vertical="center"/>
    </xf>
    <xf numFmtId="49" fontId="19" fillId="4" borderId="28" xfId="0" applyNumberFormat="1" applyFont="1" applyFill="1" applyBorder="1" applyAlignment="1">
      <alignment vertical="center" wrapText="1"/>
    </xf>
    <xf numFmtId="166" fontId="19" fillId="4" borderId="28" xfId="0" applyNumberFormat="1" applyFont="1" applyFill="1" applyBorder="1" applyAlignment="1">
      <alignment horizontal="center" vertical="center"/>
    </xf>
    <xf numFmtId="165" fontId="19" fillId="4" borderId="28" xfId="1" applyNumberFormat="1" applyFont="1" applyFill="1" applyBorder="1" applyAlignment="1">
      <alignment horizontal="center" vertical="center"/>
    </xf>
    <xf numFmtId="165" fontId="2" fillId="5" borderId="29" xfId="1" applyNumberFormat="1" applyFont="1" applyFill="1" applyBorder="1" applyAlignment="1">
      <alignment vertical="center"/>
    </xf>
    <xf numFmtId="49" fontId="2" fillId="4" borderId="28" xfId="0" applyNumberFormat="1" applyFont="1" applyFill="1" applyBorder="1" applyAlignment="1">
      <alignment horizontal="center" vertical="center"/>
    </xf>
    <xf numFmtId="0" fontId="19" fillId="4" borderId="28" xfId="0" applyFont="1" applyFill="1" applyBorder="1" applyAlignment="1">
      <alignment vertical="center" wrapText="1"/>
    </xf>
    <xf numFmtId="0" fontId="19" fillId="4" borderId="28" xfId="0" applyFont="1" applyFill="1" applyBorder="1" applyAlignment="1">
      <alignment horizontal="center" vertical="center" wrapText="1"/>
    </xf>
    <xf numFmtId="0" fontId="19" fillId="4" borderId="28" xfId="0" applyFont="1" applyFill="1" applyBorder="1" applyAlignment="1">
      <alignment horizontal="left" vertical="center" wrapText="1"/>
    </xf>
    <xf numFmtId="0" fontId="19" fillId="4" borderId="30" xfId="0" applyFont="1" applyFill="1" applyBorder="1" applyAlignment="1">
      <alignment horizontal="left" vertical="center" wrapText="1"/>
    </xf>
    <xf numFmtId="0" fontId="19" fillId="0" borderId="28" xfId="0" applyFont="1" applyBorder="1" applyAlignment="1">
      <alignment horizontal="center" vertical="center"/>
    </xf>
    <xf numFmtId="166" fontId="19" fillId="2" borderId="28" xfId="0" applyNumberFormat="1" applyFont="1" applyFill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49" fontId="19" fillId="0" borderId="28" xfId="0" applyNumberFormat="1" applyFont="1" applyBorder="1" applyAlignment="1">
      <alignment vertical="center" wrapText="1"/>
    </xf>
    <xf numFmtId="165" fontId="19" fillId="0" borderId="28" xfId="1" applyNumberFormat="1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 wrapText="1"/>
    </xf>
    <xf numFmtId="165" fontId="6" fillId="4" borderId="11" xfId="1" applyNumberFormat="1" applyFont="1" applyFill="1" applyBorder="1" applyAlignment="1">
      <alignment horizontal="center" vertical="center"/>
    </xf>
    <xf numFmtId="0" fontId="23" fillId="0" borderId="32" xfId="0" applyFon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166" fontId="8" fillId="2" borderId="0" xfId="0" applyNumberFormat="1" applyFont="1" applyFill="1"/>
    <xf numFmtId="0" fontId="24" fillId="0" borderId="0" xfId="0" applyFont="1"/>
    <xf numFmtId="0" fontId="25" fillId="0" borderId="0" xfId="0" applyFont="1"/>
    <xf numFmtId="0" fontId="19" fillId="0" borderId="28" xfId="0" applyFont="1" applyBorder="1" applyAlignment="1">
      <alignment horizontal="justify" vertical="center" wrapText="1"/>
    </xf>
    <xf numFmtId="1" fontId="19" fillId="0" borderId="28" xfId="0" applyNumberFormat="1" applyFont="1" applyBorder="1" applyAlignment="1">
      <alignment horizontal="center" vertical="center"/>
    </xf>
    <xf numFmtId="168" fontId="19" fillId="0" borderId="28" xfId="1" applyNumberFormat="1" applyFont="1" applyFill="1" applyBorder="1" applyAlignment="1">
      <alignment horizontal="right" vertical="center"/>
    </xf>
    <xf numFmtId="0" fontId="19" fillId="0" borderId="28" xfId="0" applyFont="1" applyBorder="1" applyAlignment="1">
      <alignment horizontal="center" vertical="center" wrapText="1"/>
    </xf>
    <xf numFmtId="3" fontId="19" fillId="0" borderId="28" xfId="1" applyNumberFormat="1" applyFont="1" applyFill="1" applyBorder="1" applyAlignment="1">
      <alignment vertical="center"/>
    </xf>
    <xf numFmtId="0" fontId="5" fillId="0" borderId="28" xfId="0" applyFont="1" applyBorder="1" applyAlignment="1">
      <alignment horizontal="left" vertical="center" wrapText="1"/>
    </xf>
    <xf numFmtId="0" fontId="5" fillId="0" borderId="28" xfId="5" applyFont="1" applyBorder="1" applyAlignment="1">
      <alignment horizontal="center" vertical="center"/>
    </xf>
    <xf numFmtId="169" fontId="5" fillId="0" borderId="28" xfId="0" applyNumberFormat="1" applyFont="1" applyBorder="1" applyAlignment="1">
      <alignment horizontal="right" vertical="center" wrapText="1"/>
    </xf>
    <xf numFmtId="0" fontId="5" fillId="0" borderId="28" xfId="5" applyFont="1" applyBorder="1" applyAlignment="1">
      <alignment horizontal="left" vertical="center" wrapText="1"/>
    </xf>
    <xf numFmtId="169" fontId="19" fillId="0" borderId="28" xfId="0" applyNumberFormat="1" applyFont="1" applyBorder="1" applyAlignment="1">
      <alignment horizontal="right" vertical="center" wrapText="1"/>
    </xf>
    <xf numFmtId="164" fontId="19" fillId="0" borderId="28" xfId="1" applyNumberFormat="1" applyFont="1" applyFill="1" applyBorder="1" applyAlignment="1">
      <alignment horizontal="justify" vertical="center" wrapText="1"/>
    </xf>
    <xf numFmtId="165" fontId="0" fillId="0" borderId="0" xfId="1" applyNumberFormat="1" applyFont="1"/>
    <xf numFmtId="0" fontId="12" fillId="2" borderId="5" xfId="0" applyFont="1" applyFill="1" applyBorder="1" applyAlignment="1">
      <alignment horizontal="center" vertical="center"/>
    </xf>
    <xf numFmtId="0" fontId="14" fillId="2" borderId="28" xfId="0" applyFont="1" applyFill="1" applyBorder="1" applyAlignment="1">
      <alignment horizontal="center" vertical="center"/>
    </xf>
    <xf numFmtId="49" fontId="4" fillId="4" borderId="5" xfId="0" applyNumberFormat="1" applyFont="1" applyFill="1" applyBorder="1" applyAlignment="1">
      <alignment horizontal="left" vertical="center"/>
    </xf>
    <xf numFmtId="49" fontId="6" fillId="4" borderId="28" xfId="0" applyNumberFormat="1" applyFont="1" applyFill="1" applyBorder="1" applyAlignment="1">
      <alignment horizontal="left" vertical="center"/>
    </xf>
    <xf numFmtId="49" fontId="7" fillId="4" borderId="30" xfId="0" applyNumberFormat="1" applyFont="1" applyFill="1" applyBorder="1" applyAlignment="1">
      <alignment horizontal="left" vertical="center"/>
    </xf>
    <xf numFmtId="49" fontId="7" fillId="7" borderId="28" xfId="0" applyNumberFormat="1" applyFont="1" applyFill="1" applyBorder="1" applyAlignment="1">
      <alignment horizontal="left" vertical="center"/>
    </xf>
    <xf numFmtId="49" fontId="4" fillId="7" borderId="28" xfId="0" applyNumberFormat="1" applyFont="1" applyFill="1" applyBorder="1" applyAlignment="1">
      <alignment horizontal="left" vertical="center"/>
    </xf>
    <xf numFmtId="0" fontId="12" fillId="7" borderId="28" xfId="0" applyFont="1" applyFill="1" applyBorder="1" applyAlignment="1">
      <alignment horizontal="center" vertical="center"/>
    </xf>
    <xf numFmtId="0" fontId="2" fillId="4" borderId="19" xfId="3" applyFont="1" applyFill="1" applyBorder="1"/>
    <xf numFmtId="0" fontId="2" fillId="4" borderId="4" xfId="3" applyFont="1" applyFill="1" applyBorder="1"/>
    <xf numFmtId="165" fontId="19" fillId="4" borderId="29" xfId="1" applyNumberFormat="1" applyFont="1" applyFill="1" applyBorder="1" applyAlignment="1">
      <alignment horizontal="center" vertical="center"/>
    </xf>
    <xf numFmtId="166" fontId="19" fillId="0" borderId="28" xfId="0" applyNumberFormat="1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165" fontId="19" fillId="0" borderId="29" xfId="1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left"/>
    </xf>
    <xf numFmtId="49" fontId="2" fillId="0" borderId="30" xfId="0" applyNumberFormat="1" applyFon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  <xf numFmtId="166" fontId="2" fillId="0" borderId="5" xfId="0" applyNumberFormat="1" applyFont="1" applyBorder="1" applyAlignment="1">
      <alignment vertical="center"/>
    </xf>
    <xf numFmtId="49" fontId="2" fillId="0" borderId="5" xfId="0" applyNumberFormat="1" applyFont="1" applyBorder="1" applyAlignment="1">
      <alignment vertical="center"/>
    </xf>
    <xf numFmtId="165" fontId="2" fillId="0" borderId="29" xfId="1" applyNumberFormat="1" applyFont="1" applyFill="1" applyBorder="1" applyAlignment="1">
      <alignment vertical="center"/>
    </xf>
    <xf numFmtId="49" fontId="2" fillId="0" borderId="5" xfId="0" applyNumberFormat="1" applyFont="1" applyBorder="1" applyAlignment="1">
      <alignment horizontal="right" vertical="center"/>
    </xf>
    <xf numFmtId="0" fontId="2" fillId="4" borderId="11" xfId="3" applyFont="1" applyFill="1" applyBorder="1"/>
    <xf numFmtId="0" fontId="2" fillId="4" borderId="1" xfId="3" applyFont="1" applyFill="1" applyBorder="1"/>
    <xf numFmtId="0" fontId="19" fillId="0" borderId="30" xfId="0" applyFont="1" applyBorder="1" applyAlignment="1">
      <alignment horizontal="justify" vertical="center" wrapText="1"/>
    </xf>
    <xf numFmtId="0" fontId="19" fillId="0" borderId="28" xfId="0" applyFont="1" applyBorder="1" applyAlignment="1">
      <alignment horizontal="left" vertical="center" wrapText="1"/>
    </xf>
    <xf numFmtId="0" fontId="19" fillId="0" borderId="28" xfId="5" applyFont="1" applyBorder="1" applyAlignment="1">
      <alignment horizontal="center" vertical="center"/>
    </xf>
    <xf numFmtId="49" fontId="2" fillId="0" borderId="30" xfId="0" applyNumberFormat="1" applyFont="1" applyBorder="1" applyAlignment="1">
      <alignment horizontal="right" vertical="center"/>
    </xf>
    <xf numFmtId="166" fontId="2" fillId="0" borderId="5" xfId="0" applyNumberFormat="1" applyFont="1" applyBorder="1" applyAlignment="1">
      <alignment horizontal="right" vertical="center"/>
    </xf>
    <xf numFmtId="165" fontId="2" fillId="0" borderId="29" xfId="1" applyNumberFormat="1" applyFont="1" applyFill="1" applyBorder="1" applyAlignment="1">
      <alignment horizontal="right" vertical="center"/>
    </xf>
    <xf numFmtId="49" fontId="19" fillId="0" borderId="28" xfId="0" applyNumberFormat="1" applyFont="1" applyBorder="1" applyAlignment="1">
      <alignment horizontal="center" vertical="center"/>
    </xf>
    <xf numFmtId="0" fontId="17" fillId="2" borderId="0" xfId="0" applyFont="1" applyFill="1" applyAlignment="1">
      <alignment wrapText="1"/>
    </xf>
    <xf numFmtId="0" fontId="31" fillId="0" borderId="13" xfId="0" applyFont="1" applyBorder="1"/>
    <xf numFmtId="49" fontId="7" fillId="4" borderId="5" xfId="0" applyNumberFormat="1" applyFont="1" applyFill="1" applyBorder="1" applyAlignment="1">
      <alignment horizontal="left" vertical="center"/>
    </xf>
    <xf numFmtId="49" fontId="3" fillId="4" borderId="28" xfId="0" applyNumberFormat="1" applyFont="1" applyFill="1" applyBorder="1" applyAlignment="1">
      <alignment horizontal="left" vertical="center"/>
    </xf>
    <xf numFmtId="49" fontId="6" fillId="6" borderId="28" xfId="0" quotePrefix="1" applyNumberFormat="1" applyFont="1" applyFill="1" applyBorder="1" applyAlignment="1">
      <alignment horizontal="center" vertical="center"/>
    </xf>
    <xf numFmtId="49" fontId="6" fillId="4" borderId="28" xfId="0" quotePrefix="1" applyNumberFormat="1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vertical="center" wrapText="1"/>
    </xf>
    <xf numFmtId="0" fontId="3" fillId="4" borderId="28" xfId="0" applyFont="1" applyFill="1" applyBorder="1" applyAlignment="1">
      <alignment horizontal="center" vertical="center" wrapText="1"/>
    </xf>
    <xf numFmtId="165" fontId="6" fillId="4" borderId="28" xfId="1" applyNumberFormat="1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left" vertical="center" wrapText="1"/>
    </xf>
    <xf numFmtId="49" fontId="14" fillId="4" borderId="28" xfId="0" applyNumberFormat="1" applyFont="1" applyFill="1" applyBorder="1" applyAlignment="1">
      <alignment horizontal="center" vertical="center"/>
    </xf>
    <xf numFmtId="164" fontId="3" fillId="4" borderId="28" xfId="1" applyNumberFormat="1" applyFont="1" applyFill="1" applyBorder="1" applyAlignment="1">
      <alignment horizontal="center" vertical="center" wrapText="1"/>
    </xf>
    <xf numFmtId="49" fontId="6" fillId="4" borderId="28" xfId="0" applyNumberFormat="1" applyFont="1" applyFill="1" applyBorder="1" applyAlignment="1">
      <alignment vertical="center" wrapText="1"/>
    </xf>
    <xf numFmtId="49" fontId="15" fillId="4" borderId="28" xfId="0" applyNumberFormat="1" applyFont="1" applyFill="1" applyBorder="1" applyAlignment="1">
      <alignment horizontal="right" vertical="center" wrapText="1"/>
    </xf>
    <xf numFmtId="49" fontId="15" fillId="4" borderId="30" xfId="0" applyNumberFormat="1" applyFont="1" applyFill="1" applyBorder="1" applyAlignment="1">
      <alignment horizontal="right" vertical="center" wrapText="1"/>
    </xf>
    <xf numFmtId="0" fontId="12" fillId="7" borderId="30" xfId="0" applyFont="1" applyFill="1" applyBorder="1" applyAlignment="1">
      <alignment horizontal="left" vertical="center" wrapText="1"/>
    </xf>
    <xf numFmtId="0" fontId="14" fillId="2" borderId="10" xfId="0" applyFont="1" applyFill="1" applyBorder="1" applyAlignment="1">
      <alignment horizontal="left" vertical="center" wrapText="1"/>
    </xf>
    <xf numFmtId="0" fontId="12" fillId="2" borderId="10" xfId="0" applyFont="1" applyFill="1" applyBorder="1" applyAlignment="1">
      <alignment horizontal="right" vertical="center" wrapText="1"/>
    </xf>
    <xf numFmtId="49" fontId="15" fillId="7" borderId="30" xfId="0" applyNumberFormat="1" applyFont="1" applyFill="1" applyBorder="1" applyAlignment="1">
      <alignment horizontal="left" vertical="center"/>
    </xf>
    <xf numFmtId="49" fontId="15" fillId="4" borderId="30" xfId="0" applyNumberFormat="1" applyFont="1" applyFill="1" applyBorder="1" applyAlignment="1">
      <alignment horizontal="right" vertical="center"/>
    </xf>
    <xf numFmtId="49" fontId="6" fillId="4" borderId="30" xfId="0" applyNumberFormat="1" applyFont="1" applyFill="1" applyBorder="1" applyAlignment="1">
      <alignment horizontal="left" vertical="center"/>
    </xf>
    <xf numFmtId="49" fontId="6" fillId="4" borderId="30" xfId="0" applyNumberFormat="1" applyFont="1" applyFill="1" applyBorder="1" applyAlignment="1">
      <alignment horizontal="left" vertical="center" wrapText="1"/>
    </xf>
    <xf numFmtId="49" fontId="15" fillId="4" borderId="26" xfId="0" applyNumberFormat="1" applyFont="1" applyFill="1" applyBorder="1" applyAlignment="1">
      <alignment horizontal="right" vertical="center" wrapText="1"/>
    </xf>
    <xf numFmtId="0" fontId="28" fillId="2" borderId="0" xfId="0" applyFont="1" applyFill="1" applyAlignment="1">
      <alignment wrapText="1"/>
    </xf>
    <xf numFmtId="0" fontId="9" fillId="2" borderId="0" xfId="0" applyFont="1" applyFill="1" applyAlignment="1">
      <alignment wrapText="1"/>
    </xf>
    <xf numFmtId="0" fontId="10" fillId="2" borderId="0" xfId="0" applyFont="1" applyFill="1" applyAlignment="1">
      <alignment wrapText="1"/>
    </xf>
    <xf numFmtId="0" fontId="10" fillId="2" borderId="0" xfId="0" applyFont="1" applyFill="1" applyAlignment="1">
      <alignment horizontal="left" wrapText="1"/>
    </xf>
    <xf numFmtId="165" fontId="2" fillId="5" borderId="0" xfId="1" applyNumberFormat="1" applyFont="1" applyFill="1" applyBorder="1" applyAlignment="1">
      <alignment vertical="center"/>
    </xf>
    <xf numFmtId="3" fontId="2" fillId="4" borderId="14" xfId="3" applyNumberFormat="1" applyFont="1" applyFill="1" applyBorder="1"/>
    <xf numFmtId="3" fontId="2" fillId="4" borderId="35" xfId="3" applyNumberFormat="1" applyFont="1" applyFill="1" applyBorder="1"/>
    <xf numFmtId="3" fontId="2" fillId="4" borderId="21" xfId="3" applyNumberFormat="1" applyFont="1" applyFill="1" applyBorder="1"/>
    <xf numFmtId="49" fontId="19" fillId="4" borderId="28" xfId="0" quotePrefix="1" applyNumberFormat="1" applyFont="1" applyFill="1" applyBorder="1" applyAlignment="1">
      <alignment horizontal="center" vertical="center"/>
    </xf>
    <xf numFmtId="3" fontId="14" fillId="2" borderId="28" xfId="0" applyNumberFormat="1" applyFont="1" applyFill="1" applyBorder="1" applyAlignment="1">
      <alignment horizontal="center" vertical="center"/>
    </xf>
    <xf numFmtId="3" fontId="12" fillId="2" borderId="29" xfId="0" applyNumberFormat="1" applyFont="1" applyFill="1" applyBorder="1" applyAlignment="1">
      <alignment horizontal="center" vertical="center"/>
    </xf>
    <xf numFmtId="49" fontId="6" fillId="4" borderId="30" xfId="0" applyNumberFormat="1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 wrapText="1"/>
    </xf>
    <xf numFmtId="49" fontId="4" fillId="7" borderId="8" xfId="0" applyNumberFormat="1" applyFont="1" applyFill="1" applyBorder="1" applyAlignment="1">
      <alignment horizontal="left" vertical="center"/>
    </xf>
    <xf numFmtId="49" fontId="4" fillId="7" borderId="6" xfId="0" applyNumberFormat="1" applyFont="1" applyFill="1" applyBorder="1" applyAlignment="1">
      <alignment horizontal="left" vertical="center"/>
    </xf>
    <xf numFmtId="49" fontId="4" fillId="4" borderId="11" xfId="0" applyNumberFormat="1" applyFont="1" applyFill="1" applyBorder="1" applyAlignment="1">
      <alignment horizontal="left" vertical="center"/>
    </xf>
    <xf numFmtId="3" fontId="14" fillId="0" borderId="28" xfId="0" applyNumberFormat="1" applyFont="1" applyBorder="1" applyAlignment="1">
      <alignment horizontal="center" vertical="center" wrapText="1"/>
    </xf>
    <xf numFmtId="3" fontId="15" fillId="4" borderId="29" xfId="0" applyNumberFormat="1" applyFont="1" applyFill="1" applyBorder="1" applyAlignment="1">
      <alignment horizontal="center" vertical="center"/>
    </xf>
    <xf numFmtId="3" fontId="14" fillId="0" borderId="3" xfId="0" applyNumberFormat="1" applyFont="1" applyBorder="1" applyAlignment="1">
      <alignment horizontal="center" vertical="center" wrapText="1"/>
    </xf>
    <xf numFmtId="3" fontId="6" fillId="4" borderId="28" xfId="0" applyNumberFormat="1" applyFont="1" applyFill="1" applyBorder="1" applyAlignment="1">
      <alignment horizontal="center" vertical="center"/>
    </xf>
    <xf numFmtId="3" fontId="15" fillId="4" borderId="2" xfId="0" applyNumberFormat="1" applyFont="1" applyFill="1" applyBorder="1" applyAlignment="1">
      <alignment horizontal="center" vertical="center"/>
    </xf>
    <xf numFmtId="3" fontId="3" fillId="0" borderId="28" xfId="0" applyNumberFormat="1" applyFont="1" applyBorder="1"/>
    <xf numFmtId="0" fontId="15" fillId="4" borderId="19" xfId="3" applyFont="1" applyFill="1" applyBorder="1"/>
    <xf numFmtId="0" fontId="15" fillId="4" borderId="20" xfId="3" applyFont="1" applyFill="1" applyBorder="1"/>
    <xf numFmtId="3" fontId="15" fillId="4" borderId="25" xfId="3" applyNumberFormat="1" applyFont="1" applyFill="1" applyBorder="1"/>
    <xf numFmtId="0" fontId="15" fillId="4" borderId="4" xfId="3" applyFont="1" applyFill="1" applyBorder="1"/>
    <xf numFmtId="0" fontId="6" fillId="4" borderId="5" xfId="3" applyFont="1" applyFill="1" applyBorder="1"/>
    <xf numFmtId="3" fontId="15" fillId="4" borderId="21" xfId="3" applyNumberFormat="1" applyFont="1" applyFill="1" applyBorder="1"/>
    <xf numFmtId="0" fontId="15" fillId="4" borderId="33" xfId="3" applyFont="1" applyFill="1" applyBorder="1"/>
    <xf numFmtId="0" fontId="6" fillId="4" borderId="8" xfId="3" applyFont="1" applyFill="1" applyBorder="1"/>
    <xf numFmtId="0" fontId="15" fillId="4" borderId="22" xfId="3" applyFont="1" applyFill="1" applyBorder="1"/>
    <xf numFmtId="0" fontId="15" fillId="4" borderId="23" xfId="3" applyFont="1" applyFill="1" applyBorder="1"/>
    <xf numFmtId="43" fontId="15" fillId="4" borderId="23" xfId="1" applyFont="1" applyFill="1" applyBorder="1"/>
    <xf numFmtId="3" fontId="15" fillId="4" borderId="24" xfId="3" applyNumberFormat="1" applyFont="1" applyFill="1" applyBorder="1"/>
    <xf numFmtId="0" fontId="15" fillId="4" borderId="1" xfId="3" applyFont="1" applyFill="1" applyBorder="1"/>
    <xf numFmtId="0" fontId="15" fillId="4" borderId="11" xfId="3" applyFont="1" applyFill="1" applyBorder="1"/>
    <xf numFmtId="3" fontId="15" fillId="4" borderId="14" xfId="3" applyNumberFormat="1" applyFont="1" applyFill="1" applyBorder="1"/>
    <xf numFmtId="0" fontId="15" fillId="4" borderId="5" xfId="3" applyFont="1" applyFill="1" applyBorder="1"/>
    <xf numFmtId="0" fontId="15" fillId="4" borderId="8" xfId="3" applyFont="1" applyFill="1" applyBorder="1"/>
    <xf numFmtId="3" fontId="15" fillId="4" borderId="34" xfId="3" applyNumberFormat="1" applyFont="1" applyFill="1" applyBorder="1"/>
    <xf numFmtId="0" fontId="32" fillId="0" borderId="31" xfId="0" applyFont="1" applyBorder="1" applyAlignment="1">
      <alignment horizontal="center" vertical="center"/>
    </xf>
    <xf numFmtId="0" fontId="32" fillId="0" borderId="36" xfId="0" applyFont="1" applyBorder="1" applyAlignment="1">
      <alignment horizontal="center" vertical="center"/>
    </xf>
    <xf numFmtId="166" fontId="19" fillId="0" borderId="28" xfId="0" applyNumberFormat="1" applyFont="1" applyBorder="1" applyAlignment="1">
      <alignment horizontal="center" vertical="center" wrapText="1"/>
    </xf>
    <xf numFmtId="3" fontId="15" fillId="4" borderId="35" xfId="3" applyNumberFormat="1" applyFont="1" applyFill="1" applyBorder="1"/>
    <xf numFmtId="0" fontId="2" fillId="4" borderId="30" xfId="0" applyFont="1" applyFill="1" applyBorder="1" applyAlignment="1">
      <alignment horizontal="left" vertical="center" wrapText="1"/>
    </xf>
    <xf numFmtId="3" fontId="14" fillId="4" borderId="7" xfId="0" applyNumberFormat="1" applyFont="1" applyFill="1" applyBorder="1" applyAlignment="1">
      <alignment horizontal="center" vertical="center" wrapText="1"/>
    </xf>
    <xf numFmtId="43" fontId="8" fillId="2" borderId="0" xfId="1" applyFont="1" applyFill="1"/>
    <xf numFmtId="43" fontId="8" fillId="2" borderId="18" xfId="1" applyFont="1" applyFill="1" applyBorder="1"/>
    <xf numFmtId="43" fontId="12" fillId="7" borderId="28" xfId="1" applyFont="1" applyFill="1" applyBorder="1" applyAlignment="1">
      <alignment horizontal="center" vertical="center"/>
    </xf>
    <xf numFmtId="43" fontId="14" fillId="2" borderId="28" xfId="1" applyFont="1" applyFill="1" applyBorder="1" applyAlignment="1">
      <alignment horizontal="center" vertical="center"/>
    </xf>
    <xf numFmtId="43" fontId="12" fillId="2" borderId="5" xfId="1" applyFont="1" applyFill="1" applyBorder="1" applyAlignment="1">
      <alignment horizontal="center" vertical="center"/>
    </xf>
    <xf numFmtId="43" fontId="26" fillId="0" borderId="28" xfId="1" applyFont="1" applyBorder="1" applyAlignment="1">
      <alignment horizontal="center" vertical="center"/>
    </xf>
    <xf numFmtId="43" fontId="6" fillId="4" borderId="28" xfId="1" applyFont="1" applyFill="1" applyBorder="1" applyAlignment="1">
      <alignment horizontal="center" vertical="center"/>
    </xf>
    <xf numFmtId="43" fontId="15" fillId="4" borderId="28" xfId="1" applyFont="1" applyFill="1" applyBorder="1" applyAlignment="1">
      <alignment horizontal="left" vertical="center"/>
    </xf>
    <xf numFmtId="43" fontId="7" fillId="4" borderId="11" xfId="1" applyFont="1" applyFill="1" applyBorder="1" applyAlignment="1">
      <alignment horizontal="left" vertical="center"/>
    </xf>
    <xf numFmtId="43" fontId="7" fillId="7" borderId="28" xfId="1" applyFont="1" applyFill="1" applyBorder="1" applyAlignment="1">
      <alignment horizontal="left" vertical="center"/>
    </xf>
    <xf numFmtId="43" fontId="3" fillId="4" borderId="30" xfId="1" applyFont="1" applyFill="1" applyBorder="1" applyAlignment="1">
      <alignment horizontal="center" vertical="center"/>
    </xf>
    <xf numFmtId="43" fontId="3" fillId="0" borderId="30" xfId="1" applyFont="1" applyBorder="1" applyAlignment="1">
      <alignment horizontal="center" vertical="center"/>
    </xf>
    <xf numFmtId="43" fontId="15" fillId="4" borderId="5" xfId="1" applyFont="1" applyFill="1" applyBorder="1" applyAlignment="1">
      <alignment horizontal="left" vertical="center"/>
    </xf>
    <xf numFmtId="43" fontId="14" fillId="2" borderId="11" xfId="1" applyFont="1" applyFill="1" applyBorder="1" applyAlignment="1">
      <alignment horizontal="center" vertical="center"/>
    </xf>
    <xf numFmtId="43" fontId="14" fillId="0" borderId="28" xfId="1" applyFont="1" applyBorder="1" applyAlignment="1">
      <alignment horizontal="center" vertical="center"/>
    </xf>
    <xf numFmtId="43" fontId="15" fillId="4" borderId="20" xfId="1" applyFont="1" applyFill="1" applyBorder="1"/>
    <xf numFmtId="43" fontId="6" fillId="4" borderId="5" xfId="1" applyFont="1" applyFill="1" applyBorder="1"/>
    <xf numFmtId="43" fontId="6" fillId="4" borderId="8" xfId="1" applyFont="1" applyFill="1" applyBorder="1"/>
    <xf numFmtId="49" fontId="12" fillId="7" borderId="28" xfId="0" applyNumberFormat="1" applyFont="1" applyFill="1" applyBorder="1" applyAlignment="1">
      <alignment horizontal="center" vertical="center"/>
    </xf>
    <xf numFmtId="49" fontId="14" fillId="2" borderId="3" xfId="0" quotePrefix="1" applyNumberFormat="1" applyFont="1" applyFill="1" applyBorder="1" applyAlignment="1">
      <alignment horizontal="center" vertical="center"/>
    </xf>
    <xf numFmtId="49" fontId="12" fillId="2" borderId="3" xfId="0" applyNumberFormat="1" applyFont="1" applyFill="1" applyBorder="1" applyAlignment="1">
      <alignment horizontal="center" vertical="center"/>
    </xf>
    <xf numFmtId="49" fontId="15" fillId="7" borderId="28" xfId="0" applyNumberFormat="1" applyFont="1" applyFill="1" applyBorder="1" applyAlignment="1">
      <alignment horizontal="center" vertical="center"/>
    </xf>
    <xf numFmtId="49" fontId="15" fillId="6" borderId="39" xfId="0" applyNumberFormat="1" applyFont="1" applyFill="1" applyBorder="1" applyAlignment="1">
      <alignment horizontal="center" vertical="center"/>
    </xf>
    <xf numFmtId="49" fontId="15" fillId="7" borderId="39" xfId="0" applyNumberFormat="1" applyFont="1" applyFill="1" applyBorder="1" applyAlignment="1">
      <alignment horizontal="center" vertical="center"/>
    </xf>
    <xf numFmtId="49" fontId="15" fillId="3" borderId="28" xfId="0" applyNumberFormat="1" applyFont="1" applyFill="1" applyBorder="1" applyAlignment="1">
      <alignment horizontal="center" vertical="center"/>
    </xf>
    <xf numFmtId="49" fontId="6" fillId="4" borderId="3" xfId="0" applyNumberFormat="1" applyFont="1" applyFill="1" applyBorder="1" applyAlignment="1">
      <alignment horizontal="center" vertical="center"/>
    </xf>
    <xf numFmtId="49" fontId="6" fillId="4" borderId="39" xfId="0" applyNumberFormat="1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 wrapText="1"/>
    </xf>
    <xf numFmtId="43" fontId="14" fillId="2" borderId="5" xfId="1" applyFont="1" applyFill="1" applyBorder="1" applyAlignment="1">
      <alignment horizontal="center" vertical="center"/>
    </xf>
    <xf numFmtId="165" fontId="6" fillId="4" borderId="5" xfId="1" applyNumberFormat="1" applyFont="1" applyFill="1" applyBorder="1" applyAlignment="1">
      <alignment horizontal="center" vertical="center"/>
    </xf>
    <xf numFmtId="165" fontId="15" fillId="4" borderId="29" xfId="1" applyNumberFormat="1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 wrapText="1"/>
    </xf>
    <xf numFmtId="165" fontId="15" fillId="4" borderId="40" xfId="1" applyNumberFormat="1" applyFont="1" applyFill="1" applyBorder="1" applyAlignment="1">
      <alignment horizontal="center" vertical="center"/>
    </xf>
    <xf numFmtId="49" fontId="12" fillId="2" borderId="28" xfId="0" applyNumberFormat="1" applyFont="1" applyFill="1" applyBorder="1" applyAlignment="1">
      <alignment horizontal="center" vertical="center"/>
    </xf>
    <xf numFmtId="0" fontId="12" fillId="2" borderId="30" xfId="0" applyFont="1" applyFill="1" applyBorder="1" applyAlignment="1">
      <alignment horizontal="center" vertical="center" wrapText="1"/>
    </xf>
    <xf numFmtId="0" fontId="12" fillId="2" borderId="28" xfId="0" applyFont="1" applyFill="1" applyBorder="1" applyAlignment="1">
      <alignment horizontal="center" vertical="center"/>
    </xf>
    <xf numFmtId="43" fontId="12" fillId="2" borderId="28" xfId="1" applyFont="1" applyFill="1" applyBorder="1" applyAlignment="1">
      <alignment horizontal="center" vertical="center"/>
    </xf>
    <xf numFmtId="0" fontId="8" fillId="2" borderId="41" xfId="0" applyFont="1" applyFill="1" applyBorder="1"/>
    <xf numFmtId="0" fontId="8" fillId="2" borderId="42" xfId="0" applyFont="1" applyFill="1" applyBorder="1"/>
    <xf numFmtId="0" fontId="8" fillId="2" borderId="2" xfId="0" applyFont="1" applyFill="1" applyBorder="1"/>
    <xf numFmtId="0" fontId="8" fillId="2" borderId="9" xfId="0" applyFont="1" applyFill="1" applyBorder="1"/>
    <xf numFmtId="0" fontId="8" fillId="2" borderId="43" xfId="0" applyFont="1" applyFill="1" applyBorder="1"/>
    <xf numFmtId="0" fontId="8" fillId="2" borderId="10" xfId="0" applyFont="1" applyFill="1" applyBorder="1"/>
    <xf numFmtId="43" fontId="0" fillId="0" borderId="0" xfId="1" applyFont="1" applyAlignment="1">
      <alignment horizontal="center" vertical="center"/>
    </xf>
    <xf numFmtId="0" fontId="2" fillId="4" borderId="30" xfId="0" applyFont="1" applyFill="1" applyBorder="1" applyAlignment="1">
      <alignment vertical="center" wrapText="1"/>
    </xf>
    <xf numFmtId="0" fontId="2" fillId="4" borderId="5" xfId="0" applyFont="1" applyFill="1" applyBorder="1" applyAlignment="1">
      <alignment vertical="center" wrapText="1"/>
    </xf>
    <xf numFmtId="0" fontId="2" fillId="4" borderId="29" xfId="0" applyFont="1" applyFill="1" applyBorder="1" applyAlignment="1">
      <alignment vertical="center" wrapText="1"/>
    </xf>
    <xf numFmtId="17" fontId="0" fillId="0" borderId="0" xfId="0" applyNumberFormat="1"/>
    <xf numFmtId="0" fontId="2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9" fontId="0" fillId="0" borderId="0" xfId="0" applyNumberFormat="1" applyAlignment="1">
      <alignment vertical="center" wrapText="1"/>
    </xf>
    <xf numFmtId="41" fontId="0" fillId="0" borderId="0" xfId="6" applyFont="1"/>
    <xf numFmtId="41" fontId="39" fillId="0" borderId="0" xfId="6" applyFont="1"/>
    <xf numFmtId="0" fontId="40" fillId="0" borderId="0" xfId="0" applyFont="1" applyAlignment="1">
      <alignment horizontal="center" vertical="center" wrapText="1"/>
    </xf>
    <xf numFmtId="41" fontId="40" fillId="0" borderId="0" xfId="6" applyFont="1" applyAlignment="1">
      <alignment horizontal="center" vertical="center" wrapText="1"/>
    </xf>
    <xf numFmtId="0" fontId="41" fillId="0" borderId="0" xfId="0" applyFont="1" applyAlignment="1">
      <alignment vertical="center" wrapText="1"/>
    </xf>
    <xf numFmtId="9" fontId="40" fillId="0" borderId="0" xfId="0" applyNumberFormat="1" applyFont="1" applyAlignment="1">
      <alignment vertical="center" wrapText="1"/>
    </xf>
    <xf numFmtId="41" fontId="41" fillId="0" borderId="0" xfId="6" applyFont="1"/>
    <xf numFmtId="41" fontId="42" fillId="8" borderId="0" xfId="6" applyFont="1" applyFill="1"/>
    <xf numFmtId="41" fontId="43" fillId="8" borderId="0" xfId="6" applyFont="1" applyFill="1" applyAlignment="1">
      <alignment horizontal="center" vertical="center"/>
    </xf>
    <xf numFmtId="41" fontId="44" fillId="0" borderId="0" xfId="6" applyFont="1"/>
    <xf numFmtId="0" fontId="39" fillId="0" borderId="0" xfId="0" applyFont="1"/>
    <xf numFmtId="17" fontId="39" fillId="0" borderId="0" xfId="0" applyNumberFormat="1" applyFont="1"/>
    <xf numFmtId="0" fontId="41" fillId="9" borderId="0" xfId="0" applyFont="1" applyFill="1" applyAlignment="1">
      <alignment vertical="center" wrapText="1"/>
    </xf>
    <xf numFmtId="9" fontId="40" fillId="9" borderId="0" xfId="0" applyNumberFormat="1" applyFont="1" applyFill="1" applyAlignment="1">
      <alignment vertical="center" wrapText="1"/>
    </xf>
    <xf numFmtId="41" fontId="41" fillId="9" borderId="0" xfId="6" applyFont="1" applyFill="1"/>
    <xf numFmtId="41" fontId="44" fillId="9" borderId="0" xfId="6" applyFont="1" applyFill="1"/>
    <xf numFmtId="41" fontId="39" fillId="0" borderId="0" xfId="0" applyNumberFormat="1" applyFont="1"/>
    <xf numFmtId="17" fontId="0" fillId="0" borderId="0" xfId="0" applyNumberFormat="1" applyAlignment="1">
      <alignment vertical="center" wrapText="1"/>
    </xf>
    <xf numFmtId="0" fontId="23" fillId="9" borderId="0" xfId="0" applyFont="1" applyFill="1" applyAlignment="1">
      <alignment horizontal="center" vertical="center" wrapText="1"/>
    </xf>
    <xf numFmtId="41" fontId="39" fillId="9" borderId="0" xfId="6" applyFont="1" applyFill="1"/>
    <xf numFmtId="41" fontId="0" fillId="0" borderId="0" xfId="0" applyNumberFormat="1" applyAlignment="1">
      <alignment vertical="center" wrapText="1"/>
    </xf>
    <xf numFmtId="41" fontId="39" fillId="0" borderId="0" xfId="6" applyFont="1" applyAlignment="1">
      <alignment vertical="center" wrapText="1"/>
    </xf>
    <xf numFmtId="3" fontId="45" fillId="2" borderId="29" xfId="0" applyNumberFormat="1" applyFont="1" applyFill="1" applyBorder="1" applyAlignment="1">
      <alignment horizontal="center" vertical="center"/>
    </xf>
    <xf numFmtId="9" fontId="0" fillId="0" borderId="0" xfId="7" applyFont="1"/>
    <xf numFmtId="10" fontId="0" fillId="0" borderId="0" xfId="7" applyNumberFormat="1" applyFont="1"/>
    <xf numFmtId="17" fontId="12" fillId="2" borderId="28" xfId="6" applyNumberFormat="1" applyFont="1" applyFill="1" applyBorder="1" applyAlignment="1">
      <alignment horizontal="center" vertical="center"/>
    </xf>
    <xf numFmtId="3" fontId="45" fillId="4" borderId="2" xfId="0" applyNumberFormat="1" applyFont="1" applyFill="1" applyBorder="1" applyAlignment="1">
      <alignment horizontal="center" vertical="center"/>
    </xf>
    <xf numFmtId="3" fontId="45" fillId="4" borderId="29" xfId="0" applyNumberFormat="1" applyFont="1" applyFill="1" applyBorder="1" applyAlignment="1">
      <alignment horizontal="center" vertical="center"/>
    </xf>
    <xf numFmtId="3" fontId="45" fillId="4" borderId="25" xfId="3" applyNumberFormat="1" applyFont="1" applyFill="1" applyBorder="1"/>
    <xf numFmtId="9" fontId="0" fillId="0" borderId="0" xfId="7" applyFont="1" applyAlignment="1">
      <alignment vertical="center" wrapText="1"/>
    </xf>
    <xf numFmtId="9" fontId="39" fillId="0" borderId="0" xfId="7" applyFont="1"/>
    <xf numFmtId="16" fontId="39" fillId="0" borderId="0" xfId="0" applyNumberFormat="1" applyFont="1"/>
    <xf numFmtId="165" fontId="39" fillId="0" borderId="0" xfId="1" applyNumberFormat="1" applyFont="1"/>
    <xf numFmtId="3" fontId="39" fillId="0" borderId="0" xfId="0" applyNumberFormat="1" applyFont="1"/>
    <xf numFmtId="41" fontId="46" fillId="0" borderId="0" xfId="6" applyFont="1"/>
    <xf numFmtId="167" fontId="38" fillId="0" borderId="0" xfId="0" applyNumberFormat="1" applyFont="1"/>
    <xf numFmtId="49" fontId="47" fillId="6" borderId="28" xfId="0" quotePrefix="1" applyNumberFormat="1" applyFont="1" applyFill="1" applyBorder="1" applyAlignment="1">
      <alignment horizontal="center" vertical="center"/>
    </xf>
    <xf numFmtId="49" fontId="47" fillId="4" borderId="28" xfId="0" applyNumberFormat="1" applyFont="1" applyFill="1" applyBorder="1" applyAlignment="1">
      <alignment horizontal="left" vertical="center"/>
    </xf>
    <xf numFmtId="49" fontId="47" fillId="4" borderId="30" xfId="0" applyNumberFormat="1" applyFont="1" applyFill="1" applyBorder="1" applyAlignment="1">
      <alignment horizontal="center" vertical="center"/>
    </xf>
    <xf numFmtId="43" fontId="47" fillId="4" borderId="28" xfId="1" applyFont="1" applyFill="1" applyBorder="1" applyAlignment="1">
      <alignment horizontal="center" vertical="center"/>
    </xf>
    <xf numFmtId="3" fontId="47" fillId="0" borderId="28" xfId="0" applyNumberFormat="1" applyFont="1" applyBorder="1" applyAlignment="1">
      <alignment horizontal="center" vertical="center" wrapText="1"/>
    </xf>
    <xf numFmtId="3" fontId="47" fillId="4" borderId="28" xfId="0" applyNumberFormat="1" applyFont="1" applyFill="1" applyBorder="1" applyAlignment="1">
      <alignment horizontal="center" vertical="center"/>
    </xf>
    <xf numFmtId="0" fontId="48" fillId="0" borderId="0" xfId="0" applyFont="1"/>
    <xf numFmtId="41" fontId="39" fillId="0" borderId="0" xfId="0" applyNumberFormat="1" applyFont="1" applyAlignment="1">
      <alignment horizontal="center"/>
    </xf>
    <xf numFmtId="0" fontId="33" fillId="0" borderId="0" xfId="0" applyFont="1" applyAlignment="1">
      <alignment horizontal="left"/>
    </xf>
    <xf numFmtId="49" fontId="10" fillId="2" borderId="12" xfId="0" applyNumberFormat="1" applyFont="1" applyFill="1" applyBorder="1" applyAlignment="1">
      <alignment horizontal="left" vertical="center" wrapText="1"/>
    </xf>
    <xf numFmtId="167" fontId="11" fillId="2" borderId="16" xfId="1" applyNumberFormat="1" applyFont="1" applyFill="1" applyBorder="1" applyAlignment="1">
      <alignment horizontal="center" vertical="center"/>
    </xf>
    <xf numFmtId="167" fontId="11" fillId="2" borderId="17" xfId="1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center"/>
    </xf>
    <xf numFmtId="49" fontId="10" fillId="2" borderId="32" xfId="0" applyNumberFormat="1" applyFont="1" applyFill="1" applyBorder="1" applyAlignment="1">
      <alignment horizontal="left" vertical="center" wrapText="1"/>
    </xf>
    <xf numFmtId="0" fontId="33" fillId="0" borderId="0" xfId="0" applyFont="1" applyAlignment="1">
      <alignment horizontal="left" wrapText="1"/>
    </xf>
    <xf numFmtId="0" fontId="32" fillId="0" borderId="0" xfId="0" applyFont="1" applyAlignment="1">
      <alignment horizontal="left"/>
    </xf>
    <xf numFmtId="0" fontId="8" fillId="2" borderId="0" xfId="0" applyFont="1" applyFill="1" applyAlignment="1">
      <alignment wrapText="1"/>
    </xf>
    <xf numFmtId="0" fontId="0" fillId="0" borderId="0" xfId="0" applyAlignment="1">
      <alignment wrapText="1"/>
    </xf>
    <xf numFmtId="167" fontId="11" fillId="2" borderId="32" xfId="1" applyNumberFormat="1" applyFont="1" applyFill="1" applyBorder="1" applyAlignment="1">
      <alignment horizontal="right" vertical="center"/>
    </xf>
    <xf numFmtId="167" fontId="9" fillId="2" borderId="37" xfId="1" applyNumberFormat="1" applyFont="1" applyFill="1" applyBorder="1" applyAlignment="1">
      <alignment horizontal="right" vertical="center"/>
    </xf>
    <xf numFmtId="167" fontId="9" fillId="2" borderId="24" xfId="1" applyNumberFormat="1" applyFont="1" applyFill="1" applyBorder="1" applyAlignment="1">
      <alignment horizontal="right" vertical="center"/>
    </xf>
    <xf numFmtId="167" fontId="11" fillId="2" borderId="12" xfId="1" applyNumberFormat="1" applyFont="1" applyFill="1" applyBorder="1" applyAlignment="1">
      <alignment horizontal="right" vertical="center"/>
    </xf>
    <xf numFmtId="0" fontId="39" fillId="0" borderId="0" xfId="0" applyFont="1" applyAlignment="1">
      <alignment horizontal="center"/>
    </xf>
    <xf numFmtId="0" fontId="34" fillId="0" borderId="0" xfId="0" applyFont="1" applyAlignment="1">
      <alignment horizontal="center" wrapText="1"/>
    </xf>
    <xf numFmtId="0" fontId="35" fillId="0" borderId="0" xfId="0" applyFont="1" applyAlignment="1">
      <alignment horizontal="left"/>
    </xf>
    <xf numFmtId="0" fontId="32" fillId="0" borderId="26" xfId="0" applyFont="1" applyBorder="1" applyAlignment="1">
      <alignment horizontal="left" vertical="center"/>
    </xf>
    <xf numFmtId="0" fontId="32" fillId="0" borderId="27" xfId="0" applyFont="1" applyBorder="1" applyAlignment="1">
      <alignment horizontal="left" vertical="center"/>
    </xf>
    <xf numFmtId="0" fontId="16" fillId="2" borderId="15" xfId="0" applyFont="1" applyFill="1" applyBorder="1" applyAlignment="1">
      <alignment horizontal="center" vertical="center" wrapText="1"/>
    </xf>
    <xf numFmtId="0" fontId="16" fillId="2" borderId="20" xfId="0" applyFont="1" applyFill="1" applyBorder="1" applyAlignment="1">
      <alignment horizontal="center" vertical="center" wrapText="1"/>
    </xf>
    <xf numFmtId="0" fontId="16" fillId="2" borderId="38" xfId="0" applyFont="1" applyFill="1" applyBorder="1" applyAlignment="1">
      <alignment horizontal="center" vertical="center" wrapText="1"/>
    </xf>
    <xf numFmtId="167" fontId="9" fillId="2" borderId="28" xfId="1" applyNumberFormat="1" applyFont="1" applyFill="1" applyBorder="1" applyAlignment="1">
      <alignment horizontal="right" vertical="center"/>
    </xf>
    <xf numFmtId="167" fontId="9" fillId="2" borderId="21" xfId="1" applyNumberFormat="1" applyFont="1" applyFill="1" applyBorder="1" applyAlignment="1">
      <alignment horizontal="right" vertical="center"/>
    </xf>
    <xf numFmtId="49" fontId="9" fillId="2" borderId="28" xfId="0" applyNumberFormat="1" applyFont="1" applyFill="1" applyBorder="1" applyAlignment="1">
      <alignment horizontal="left" vertical="center"/>
    </xf>
    <xf numFmtId="49" fontId="9" fillId="2" borderId="28" xfId="0" applyNumberFormat="1" applyFont="1" applyFill="1" applyBorder="1" applyAlignment="1">
      <alignment horizontal="left" vertical="center" wrapText="1"/>
    </xf>
    <xf numFmtId="0" fontId="10" fillId="2" borderId="0" xfId="0" applyFont="1" applyFill="1" applyAlignment="1">
      <alignment horizontal="left" wrapText="1"/>
    </xf>
    <xf numFmtId="0" fontId="9" fillId="2" borderId="0" xfId="0" applyFont="1" applyFill="1" applyAlignment="1">
      <alignment horizontal="left"/>
    </xf>
    <xf numFmtId="0" fontId="10" fillId="2" borderId="0" xfId="0" applyFont="1" applyFill="1" applyAlignment="1">
      <alignment horizontal="left"/>
    </xf>
    <xf numFmtId="49" fontId="15" fillId="3" borderId="10" xfId="0" applyNumberFormat="1" applyFont="1" applyFill="1" applyBorder="1" applyAlignment="1">
      <alignment horizontal="left" vertical="center"/>
    </xf>
    <xf numFmtId="49" fontId="15" fillId="3" borderId="11" xfId="0" applyNumberFormat="1" applyFont="1" applyFill="1" applyBorder="1" applyAlignment="1">
      <alignment horizontal="left" vertical="center"/>
    </xf>
    <xf numFmtId="49" fontId="15" fillId="3" borderId="2" xfId="0" applyNumberFormat="1" applyFont="1" applyFill="1" applyBorder="1" applyAlignment="1">
      <alignment horizontal="left" vertical="center"/>
    </xf>
    <xf numFmtId="0" fontId="17" fillId="2" borderId="0" xfId="0" applyFont="1" applyFill="1" applyAlignment="1">
      <alignment horizontal="center" wrapText="1"/>
    </xf>
    <xf numFmtId="0" fontId="37" fillId="2" borderId="0" xfId="0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0" fontId="29" fillId="2" borderId="0" xfId="0" applyFont="1" applyFill="1" applyAlignment="1">
      <alignment horizontal="left"/>
    </xf>
    <xf numFmtId="49" fontId="15" fillId="7" borderId="30" xfId="0" applyNumberFormat="1" applyFont="1" applyFill="1" applyBorder="1" applyAlignment="1">
      <alignment horizontal="left" vertical="center"/>
    </xf>
    <xf numFmtId="49" fontId="15" fillId="7" borderId="5" xfId="0" applyNumberFormat="1" applyFont="1" applyFill="1" applyBorder="1" applyAlignment="1">
      <alignment horizontal="left" vertical="center"/>
    </xf>
    <xf numFmtId="49" fontId="15" fillId="7" borderId="8" xfId="0" applyNumberFormat="1" applyFont="1" applyFill="1" applyBorder="1" applyAlignment="1">
      <alignment horizontal="left" vertical="center"/>
    </xf>
    <xf numFmtId="49" fontId="15" fillId="3" borderId="30" xfId="0" applyNumberFormat="1" applyFont="1" applyFill="1" applyBorder="1" applyAlignment="1">
      <alignment horizontal="left" vertical="center"/>
    </xf>
    <xf numFmtId="49" fontId="15" fillId="3" borderId="5" xfId="0" applyNumberFormat="1" applyFont="1" applyFill="1" applyBorder="1" applyAlignment="1">
      <alignment horizontal="left" vertical="center"/>
    </xf>
    <xf numFmtId="49" fontId="15" fillId="3" borderId="29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4" borderId="30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4" borderId="29" xfId="0" applyFont="1" applyFill="1" applyBorder="1" applyAlignment="1">
      <alignment horizontal="left" vertical="center" wrapText="1"/>
    </xf>
    <xf numFmtId="49" fontId="2" fillId="3" borderId="28" xfId="0" applyNumberFormat="1" applyFont="1" applyFill="1" applyBorder="1" applyAlignment="1">
      <alignment horizontal="left" vertical="center"/>
    </xf>
    <xf numFmtId="0" fontId="37" fillId="2" borderId="0" xfId="0" applyFont="1" applyFill="1" applyAlignment="1">
      <alignment horizontal="center" wrapText="1"/>
    </xf>
    <xf numFmtId="0" fontId="16" fillId="2" borderId="0" xfId="0" applyFont="1" applyFill="1" applyAlignment="1">
      <alignment horizontal="center" wrapText="1"/>
    </xf>
    <xf numFmtId="0" fontId="29" fillId="2" borderId="0" xfId="0" applyFont="1" applyFill="1" applyAlignment="1">
      <alignment horizontal="left" wrapText="1"/>
    </xf>
    <xf numFmtId="0" fontId="2" fillId="0" borderId="30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2" fillId="0" borderId="29" xfId="0" applyFont="1" applyBorder="1" applyAlignment="1">
      <alignment horizontal="left" vertical="center" wrapText="1"/>
    </xf>
    <xf numFmtId="0" fontId="8" fillId="2" borderId="0" xfId="0" applyFont="1" applyFill="1" applyAlignment="1">
      <alignment horizontal="center"/>
    </xf>
  </cellXfs>
  <cellStyles count="8">
    <cellStyle name="ArtTitre" xfId="2" xr:uid="{00000000-0005-0000-0000-000000000000}"/>
    <cellStyle name="Milliers" xfId="1" builtinId="3"/>
    <cellStyle name="Milliers [0]" xfId="6" builtinId="6"/>
    <cellStyle name="Normal" xfId="0" builtinId="0"/>
    <cellStyle name="Normal 2" xfId="3" xr:uid="{00000000-0005-0000-0000-000003000000}"/>
    <cellStyle name="Normal 2 2" xfId="4" xr:uid="{00000000-0005-0000-0000-000004000000}"/>
    <cellStyle name="Normal 2 4" xfId="5" xr:uid="{BA59473E-AFF4-44D4-AD5F-EF6F764A88FB}"/>
    <cellStyle name="Pourcentage" xfId="7" builtinId="5"/>
  </cellStyles>
  <dxfs count="1"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12</xdr:row>
      <xdr:rowOff>78105</xdr:rowOff>
    </xdr:from>
    <xdr:to>
      <xdr:col>5</xdr:col>
      <xdr:colOff>0</xdr:colOff>
      <xdr:row>14</xdr:row>
      <xdr:rowOff>144780</xdr:rowOff>
    </xdr:to>
    <xdr:sp macro="" textlink="">
      <xdr:nvSpPr>
        <xdr:cNvPr id="2" name="Text Box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7620" y="2638425"/>
          <a:ext cx="7033260" cy="569595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ctr" upright="1"/>
        <a:lstStyle/>
        <a:p>
          <a:pPr algn="ctr" rtl="1">
            <a:defRPr sz="1000"/>
          </a:pPr>
          <a:r>
            <a:rPr lang="fr-FR" sz="1600" b="1" i="0" strike="noStrike">
              <a:solidFill>
                <a:srgbClr val="800000"/>
              </a:solidFill>
              <a:latin typeface="Arial"/>
              <a:cs typeface="Arial"/>
            </a:rPr>
            <a:t>SYNTHESE</a:t>
          </a:r>
          <a:r>
            <a:rPr lang="fr-FR" sz="1600" b="1" i="0" strike="noStrike" baseline="0">
              <a:solidFill>
                <a:srgbClr val="800000"/>
              </a:solidFill>
              <a:latin typeface="Arial"/>
              <a:cs typeface="Arial"/>
            </a:rPr>
            <a:t> DE L'OFFRE</a:t>
          </a:r>
          <a:r>
            <a:rPr lang="fr-FR" sz="1600" b="1" i="0" strike="noStrike">
              <a:solidFill>
                <a:srgbClr val="800000"/>
              </a:solidFill>
              <a:latin typeface="Arial"/>
              <a:cs typeface="Arial"/>
            </a:rPr>
            <a:t>   </a:t>
          </a:r>
        </a:p>
        <a:p>
          <a:pPr algn="ctr" rtl="1">
            <a:defRPr sz="1000"/>
          </a:pPr>
          <a:endParaRPr lang="fr-FR" sz="1000" b="1" i="0" strike="noStrike">
            <a:solidFill>
              <a:srgbClr val="8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10</xdr:row>
      <xdr:rowOff>120015</xdr:rowOff>
    </xdr:to>
    <xdr:sp macro="" textlink="">
      <xdr:nvSpPr>
        <xdr:cNvPr id="2" name="Text Box 3">
          <a:extLst>
            <a:ext uri="{FF2B5EF4-FFF2-40B4-BE49-F238E27FC236}">
              <a16:creationId xmlns:a16="http://schemas.microsoft.com/office/drawing/2014/main" id="{08E9F966-6703-401C-A981-C7D35B0D2C9D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7124700" cy="50101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ctr" upright="1"/>
        <a:lstStyle/>
        <a:p>
          <a:pPr algn="ctr" rtl="1">
            <a:defRPr sz="1000"/>
          </a:pPr>
          <a:r>
            <a:rPr lang="fr-FR" sz="1600" b="1" i="0" strike="noStrike">
              <a:solidFill>
                <a:srgbClr val="800000"/>
              </a:solidFill>
              <a:latin typeface="Arial"/>
              <a:cs typeface="Arial"/>
            </a:rPr>
            <a:t>1 - BATIMENT</a:t>
          </a:r>
          <a:r>
            <a:rPr lang="fr-FR" sz="1600" b="1" i="0" strike="noStrike" baseline="0">
              <a:solidFill>
                <a:srgbClr val="800000"/>
              </a:solidFill>
              <a:latin typeface="Arial"/>
              <a:cs typeface="Arial"/>
            </a:rPr>
            <a:t> CENTRE DE PECHE</a:t>
          </a:r>
          <a:endParaRPr lang="fr-FR" sz="1600" b="1" i="0" strike="noStrike">
            <a:solidFill>
              <a:srgbClr val="8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10</xdr:row>
      <xdr:rowOff>120015</xdr:rowOff>
    </xdr:to>
    <xdr:sp macro="" textlink="">
      <xdr:nvSpPr>
        <xdr:cNvPr id="2" name="Text Box 3">
          <a:extLst>
            <a:ext uri="{FF2B5EF4-FFF2-40B4-BE49-F238E27FC236}">
              <a16:creationId xmlns:a16="http://schemas.microsoft.com/office/drawing/2014/main" id="{9F2FEC56-258B-47DF-A018-2EE6F65CAA2E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7322820" cy="4857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ctr" upright="1"/>
        <a:lstStyle/>
        <a:p>
          <a:pPr algn="ctr" rtl="1">
            <a:defRPr sz="1000"/>
          </a:pPr>
          <a:r>
            <a:rPr lang="fr-FR" sz="1600" b="1" i="0" strike="noStrike">
              <a:solidFill>
                <a:srgbClr val="800000"/>
              </a:solidFill>
              <a:latin typeface="Arial"/>
              <a:cs typeface="Arial"/>
            </a:rPr>
            <a:t>2 -</a:t>
          </a:r>
          <a:r>
            <a:rPr lang="fr-FR" sz="1600" b="1" i="0" strike="noStrike" baseline="0">
              <a:solidFill>
                <a:srgbClr val="800000"/>
              </a:solidFill>
              <a:latin typeface="Arial"/>
              <a:cs typeface="Arial"/>
            </a:rPr>
            <a:t> </a:t>
          </a:r>
          <a:r>
            <a:rPr lang="fr-FR" sz="1600" b="1" i="0" strike="noStrike">
              <a:solidFill>
                <a:srgbClr val="800000"/>
              </a:solidFill>
              <a:latin typeface="Arial"/>
              <a:cs typeface="Arial"/>
            </a:rPr>
            <a:t>RESTAURANT</a:t>
          </a:r>
          <a:r>
            <a:rPr lang="fr-FR" sz="1600" b="1" i="0" strike="noStrike" baseline="0">
              <a:solidFill>
                <a:srgbClr val="800000"/>
              </a:solidFill>
              <a:latin typeface="Arial"/>
              <a:cs typeface="Arial"/>
            </a:rPr>
            <a:t> BAR</a:t>
          </a:r>
          <a:endParaRPr lang="fr-FR" sz="1600" b="1" i="0" strike="noStrike">
            <a:solidFill>
              <a:srgbClr val="8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15241</xdr:rowOff>
    </xdr:from>
    <xdr:to>
      <xdr:col>6</xdr:col>
      <xdr:colOff>0</xdr:colOff>
      <xdr:row>10</xdr:row>
      <xdr:rowOff>53341</xdr:rowOff>
    </xdr:to>
    <xdr:sp macro="" textlink="">
      <xdr:nvSpPr>
        <xdr:cNvPr id="2" name="Text Box 3">
          <a:extLst>
            <a:ext uri="{FF2B5EF4-FFF2-40B4-BE49-F238E27FC236}">
              <a16:creationId xmlns:a16="http://schemas.microsoft.com/office/drawing/2014/main" id="{9A791032-ACAC-499F-9FBE-C25E33E2FFAA}"/>
            </a:ext>
          </a:extLst>
        </xdr:cNvPr>
        <xdr:cNvSpPr txBox="1">
          <a:spLocks noChangeArrowheads="1"/>
        </xdr:cNvSpPr>
      </xdr:nvSpPr>
      <xdr:spPr bwMode="auto">
        <a:xfrm>
          <a:off x="0" y="1615441"/>
          <a:ext cx="7421880" cy="4038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ctr" upright="1"/>
        <a:lstStyle/>
        <a:p>
          <a:pPr algn="ctr" rtl="1">
            <a:defRPr sz="1000"/>
          </a:pPr>
          <a:r>
            <a:rPr lang="fr-FR" sz="1600" b="1" i="0" strike="noStrike">
              <a:solidFill>
                <a:srgbClr val="800000"/>
              </a:solidFill>
              <a:latin typeface="Arial"/>
              <a:cs typeface="Arial"/>
            </a:rPr>
            <a:t>3 - VESTIAIRES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17145</xdr:rowOff>
    </xdr:from>
    <xdr:to>
      <xdr:col>6</xdr:col>
      <xdr:colOff>0</xdr:colOff>
      <xdr:row>9</xdr:row>
      <xdr:rowOff>17145</xdr:rowOff>
    </xdr:to>
    <xdr:sp macro="" textlink="">
      <xdr:nvSpPr>
        <xdr:cNvPr id="2" name="Text Box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0" y="1722120"/>
          <a:ext cx="7439025" cy="400050"/>
        </a:xfrm>
        <a:prstGeom prst="rect">
          <a:avLst/>
        </a:prstGeom>
        <a:gradFill rotWithShape="1">
          <a:gsLst>
            <a:gs pos="0">
              <a:srgbClr val="CCFFFF">
                <a:gamma/>
                <a:shade val="46275"/>
                <a:invGamma/>
              </a:srgbClr>
            </a:gs>
            <a:gs pos="100000">
              <a:srgbClr val="CCFFFF">
                <a:alpha val="96001"/>
              </a:srgbClr>
            </a:gs>
          </a:gsLst>
          <a:lin ang="189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ctr" upright="1"/>
        <a:lstStyle/>
        <a:p>
          <a:pPr algn="ctr" rtl="1">
            <a:defRPr sz="1000"/>
          </a:pPr>
          <a:r>
            <a:rPr lang="fr-FR" sz="1600" b="1" i="0" strike="noStrike" baseline="0">
              <a:solidFill>
                <a:srgbClr val="800000"/>
              </a:solidFill>
              <a:latin typeface="Arial"/>
              <a:cs typeface="Arial"/>
            </a:rPr>
            <a:t>4 - CONSTRUCTION D'UNE ROUTE / PARKING / PONTON  </a:t>
          </a:r>
          <a:endParaRPr lang="fr-FR" sz="1600" b="1" i="0" strike="noStrike">
            <a:solidFill>
              <a:srgbClr val="800000"/>
            </a:solidFill>
            <a:latin typeface="Arial"/>
            <a:cs typeface="Arial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tp\Downloads\DQE%20D&#233;barcad&#232;re%20zone%20Pont%2011%20Mars%2025.xlsx" TargetMode="External"/><Relationship Id="rId1" Type="http://schemas.openxmlformats.org/officeDocument/2006/relationships/externalLinkPath" Target="/Users/btp/Downloads/DQE%20D&#233;barcad&#232;re%20zone%20Pont%2011%20Mars%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écap"/>
      <sheetName val="Route"/>
      <sheetName val="Ponton"/>
      <sheetName val="Gare fluviale,"/>
    </sheetNames>
    <sheetDataSet>
      <sheetData sheetId="0"/>
      <sheetData sheetId="1">
        <row r="5">
          <cell r="E5">
            <v>23515200</v>
          </cell>
        </row>
      </sheetData>
      <sheetData sheetId="2"/>
      <sheetData sheetId="3">
        <row r="5">
          <cell r="E5">
            <v>23515200</v>
          </cell>
        </row>
        <row r="51">
          <cell r="E51">
            <v>8820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7:AA33"/>
  <sheetViews>
    <sheetView view="pageBreakPreview" topLeftCell="A7" zoomScaleNormal="100" zoomScaleSheetLayoutView="100" workbookViewId="0">
      <selection activeCell="H26" sqref="H26"/>
    </sheetView>
  </sheetViews>
  <sheetFormatPr baseColWidth="10" defaultRowHeight="15" x14ac:dyDescent="0.25"/>
  <cols>
    <col min="1" max="1" width="13.85546875" bestFit="1" customWidth="1"/>
    <col min="3" max="3" width="51.140625" customWidth="1"/>
    <col min="5" max="5" width="15.42578125" customWidth="1"/>
    <col min="6" max="6" width="18.85546875" bestFit="1" customWidth="1"/>
    <col min="7" max="7" width="16.28515625" bestFit="1" customWidth="1"/>
    <col min="8" max="8" width="24.85546875" bestFit="1" customWidth="1"/>
    <col min="9" max="9" width="13" bestFit="1" customWidth="1"/>
    <col min="10" max="10" width="8.28515625" bestFit="1" customWidth="1"/>
    <col min="11" max="11" width="8.85546875" bestFit="1" customWidth="1"/>
    <col min="12" max="12" width="7.5703125" bestFit="1" customWidth="1"/>
    <col min="13" max="13" width="7.7109375" bestFit="1" customWidth="1"/>
    <col min="14" max="14" width="7.42578125" bestFit="1" customWidth="1"/>
    <col min="15" max="15" width="6.5703125" bestFit="1" customWidth="1"/>
    <col min="16" max="16" width="8.85546875" bestFit="1" customWidth="1"/>
    <col min="17" max="17" width="8.42578125" bestFit="1" customWidth="1"/>
    <col min="18" max="18" width="7.5703125" bestFit="1" customWidth="1"/>
    <col min="19" max="19" width="8.140625" bestFit="1" customWidth="1"/>
    <col min="20" max="20" width="8.28515625" bestFit="1" customWidth="1"/>
    <col min="21" max="21" width="8.5703125" bestFit="1" customWidth="1"/>
  </cols>
  <sheetData>
    <row r="7" spans="1:27" ht="41.25" customHeight="1" x14ac:dyDescent="0.3">
      <c r="A7" s="266" t="s">
        <v>385</v>
      </c>
      <c r="B7" s="266"/>
      <c r="C7" s="266"/>
      <c r="D7" s="266"/>
      <c r="E7" s="266"/>
    </row>
    <row r="9" spans="1:27" ht="14.45" customHeight="1" x14ac:dyDescent="0.25"/>
    <row r="10" spans="1:27" x14ac:dyDescent="0.25">
      <c r="B10" s="2"/>
      <c r="C10" s="1"/>
      <c r="D10" s="2"/>
      <c r="E10" s="2"/>
    </row>
    <row r="11" spans="1:27" ht="15.75" x14ac:dyDescent="0.25">
      <c r="A11" s="267" t="s">
        <v>387</v>
      </c>
      <c r="B11" s="258"/>
      <c r="C11" s="258"/>
      <c r="D11" s="2"/>
      <c r="E11" s="2"/>
    </row>
    <row r="12" spans="1:27" x14ac:dyDescent="0.25">
      <c r="B12" s="2"/>
      <c r="C12" s="1"/>
      <c r="D12" s="2"/>
      <c r="E12" s="2"/>
    </row>
    <row r="13" spans="1:27" x14ac:dyDescent="0.25">
      <c r="B13" s="2"/>
      <c r="C13" s="1"/>
      <c r="D13" s="2"/>
      <c r="E13" s="2"/>
    </row>
    <row r="14" spans="1:27" ht="25.35" customHeight="1" x14ac:dyDescent="0.3">
      <c r="A14" s="255"/>
      <c r="B14" s="255"/>
      <c r="C14" s="255"/>
      <c r="D14" s="255"/>
      <c r="E14" s="255"/>
      <c r="F14" s="217"/>
      <c r="G14" s="217"/>
      <c r="H14" s="217"/>
      <c r="I14" s="217" t="s">
        <v>411</v>
      </c>
      <c r="J14" s="217"/>
      <c r="K14" s="217"/>
      <c r="L14" s="217"/>
      <c r="M14" s="217"/>
      <c r="N14" s="217"/>
      <c r="O14" s="217"/>
      <c r="P14" s="217"/>
      <c r="Q14" s="217"/>
      <c r="R14" s="217"/>
      <c r="S14" s="217"/>
      <c r="T14" s="217"/>
      <c r="U14" s="217"/>
    </row>
    <row r="15" spans="1:27" ht="29.45" customHeight="1" thickBot="1" x14ac:dyDescent="0.35">
      <c r="B15" s="87"/>
      <c r="C15" s="87"/>
      <c r="D15" s="87"/>
      <c r="E15" s="87"/>
      <c r="F15" s="265" t="s">
        <v>410</v>
      </c>
      <c r="G15" s="265"/>
      <c r="H15" s="265"/>
      <c r="I15" s="218">
        <v>46023</v>
      </c>
      <c r="J15" s="218">
        <v>46054</v>
      </c>
      <c r="K15" s="218">
        <v>46082</v>
      </c>
      <c r="L15" s="218">
        <v>46113</v>
      </c>
      <c r="M15" s="218">
        <v>46143</v>
      </c>
      <c r="N15" s="218">
        <v>46174</v>
      </c>
      <c r="O15" s="218">
        <v>46204</v>
      </c>
      <c r="P15" s="218">
        <v>46235</v>
      </c>
      <c r="Q15" s="218">
        <v>46266</v>
      </c>
      <c r="R15" s="218">
        <v>46296</v>
      </c>
      <c r="S15" s="218">
        <v>46327</v>
      </c>
      <c r="T15" s="218">
        <v>46357</v>
      </c>
      <c r="U15" s="218">
        <v>46388</v>
      </c>
      <c r="V15" s="203"/>
      <c r="W15" s="203"/>
      <c r="X15" s="203"/>
      <c r="Y15" s="203"/>
      <c r="Z15" s="203"/>
      <c r="AA15" s="203"/>
    </row>
    <row r="16" spans="1:27" ht="23.45" customHeight="1" x14ac:dyDescent="0.3">
      <c r="A16" s="88" t="s">
        <v>288</v>
      </c>
      <c r="B16" s="270" t="s">
        <v>1</v>
      </c>
      <c r="C16" s="271"/>
      <c r="D16" s="270" t="s">
        <v>289</v>
      </c>
      <c r="E16" s="272"/>
      <c r="F16" s="242">
        <f>D21</f>
        <v>819880981.65459788</v>
      </c>
      <c r="G16" s="238"/>
      <c r="H16" s="217" t="s">
        <v>412</v>
      </c>
      <c r="I16" s="217"/>
      <c r="J16" s="217"/>
      <c r="K16" s="217"/>
      <c r="L16" s="217"/>
      <c r="M16" s="217"/>
      <c r="N16" s="217"/>
      <c r="O16" s="217"/>
      <c r="P16" s="217"/>
      <c r="Q16" s="217"/>
      <c r="R16" s="217"/>
      <c r="S16" s="217"/>
      <c r="T16" s="217"/>
      <c r="U16" s="217"/>
    </row>
    <row r="17" spans="1:21" ht="25.15" customHeight="1" x14ac:dyDescent="0.3">
      <c r="A17" s="150">
        <v>1</v>
      </c>
      <c r="B17" s="275" t="s">
        <v>250</v>
      </c>
      <c r="C17" s="275"/>
      <c r="D17" s="273">
        <f>'BATIMENT CENTRE DE PECHE'!F120</f>
        <v>164291201.02500004</v>
      </c>
      <c r="E17" s="274"/>
      <c r="F17" s="217"/>
      <c r="G17" s="239"/>
      <c r="H17" s="217" t="s">
        <v>413</v>
      </c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217"/>
      <c r="T17" s="217"/>
      <c r="U17" s="217"/>
    </row>
    <row r="18" spans="1:21" ht="25.15" customHeight="1" x14ac:dyDescent="0.3">
      <c r="A18" s="150">
        <v>2</v>
      </c>
      <c r="B18" s="275" t="s">
        <v>264</v>
      </c>
      <c r="C18" s="275"/>
      <c r="D18" s="273">
        <f>'RESTAURANT BAR'!F117</f>
        <v>112102188.295</v>
      </c>
      <c r="E18" s="274"/>
      <c r="F18" s="217"/>
      <c r="G18" s="239"/>
      <c r="H18" s="217" t="s">
        <v>414</v>
      </c>
      <c r="I18" s="217"/>
      <c r="J18" s="217"/>
      <c r="K18" s="217"/>
      <c r="L18" s="217"/>
      <c r="M18" s="217"/>
      <c r="N18" s="217"/>
      <c r="O18" s="217"/>
      <c r="P18" s="217"/>
      <c r="Q18" s="217"/>
      <c r="R18" s="217"/>
      <c r="S18" s="217"/>
      <c r="T18" s="217"/>
      <c r="U18" s="217"/>
    </row>
    <row r="19" spans="1:21" ht="25.15" customHeight="1" x14ac:dyDescent="0.3">
      <c r="A19" s="150">
        <v>3</v>
      </c>
      <c r="B19" s="276" t="s">
        <v>344</v>
      </c>
      <c r="C19" s="276"/>
      <c r="D19" s="273">
        <f>VESTIAIRES!F88</f>
        <v>37095851.756249994</v>
      </c>
      <c r="E19" s="274"/>
      <c r="F19" s="217"/>
      <c r="G19" s="239"/>
      <c r="H19" s="217" t="s">
        <v>415</v>
      </c>
      <c r="I19" s="240">
        <f>'CONSTRUCTION ROUTE'!$H$76</f>
        <v>77920067.5</v>
      </c>
      <c r="J19" s="217"/>
      <c r="K19" s="217"/>
      <c r="L19" s="217"/>
      <c r="M19" s="217"/>
      <c r="N19" s="217"/>
      <c r="O19" s="217"/>
      <c r="P19" s="217"/>
      <c r="Q19" s="217"/>
      <c r="R19" s="217"/>
      <c r="S19" s="217"/>
      <c r="T19" s="217"/>
      <c r="U19" s="217"/>
    </row>
    <row r="20" spans="1:21" ht="27.6" customHeight="1" thickBot="1" x14ac:dyDescent="0.4">
      <c r="A20" s="151">
        <v>4</v>
      </c>
      <c r="B20" s="268" t="s">
        <v>407</v>
      </c>
      <c r="C20" s="269"/>
      <c r="D20" s="262">
        <f>'CONSTRUCTION ROUTE'!F76</f>
        <v>506391740.5783478</v>
      </c>
      <c r="E20" s="263"/>
      <c r="F20" s="217"/>
      <c r="G20" s="239"/>
      <c r="H20" s="249" t="s">
        <v>460</v>
      </c>
      <c r="I20" s="241">
        <f>SUM(I16:I19)</f>
        <v>77920067.5</v>
      </c>
      <c r="J20" s="241">
        <f t="shared" ref="J20:U20" si="0">SUM(J16:J19)</f>
        <v>0</v>
      </c>
      <c r="K20" s="241">
        <f t="shared" si="0"/>
        <v>0</v>
      </c>
      <c r="L20" s="241">
        <f t="shared" si="0"/>
        <v>0</v>
      </c>
      <c r="M20" s="241">
        <f t="shared" si="0"/>
        <v>0</v>
      </c>
      <c r="N20" s="241">
        <f t="shared" si="0"/>
        <v>0</v>
      </c>
      <c r="O20" s="241">
        <f t="shared" si="0"/>
        <v>0</v>
      </c>
      <c r="P20" s="241">
        <f t="shared" si="0"/>
        <v>0</v>
      </c>
      <c r="Q20" s="241">
        <f t="shared" si="0"/>
        <v>0</v>
      </c>
      <c r="R20" s="241">
        <f t="shared" si="0"/>
        <v>0</v>
      </c>
      <c r="S20" s="241">
        <f t="shared" si="0"/>
        <v>0</v>
      </c>
      <c r="T20" s="241">
        <f t="shared" si="0"/>
        <v>0</v>
      </c>
      <c r="U20" s="241">
        <f t="shared" si="0"/>
        <v>0</v>
      </c>
    </row>
    <row r="21" spans="1:21" ht="25.15" customHeight="1" thickBot="1" x14ac:dyDescent="0.3">
      <c r="B21" s="252" t="s">
        <v>294</v>
      </c>
      <c r="C21" s="252"/>
      <c r="D21" s="264">
        <f>D17+D18+D19+D20</f>
        <v>819880981.65459788</v>
      </c>
      <c r="E21" s="264"/>
      <c r="G21" s="14">
        <f>D21*0.2</f>
        <v>163976196.33091959</v>
      </c>
      <c r="H21" s="14"/>
      <c r="I21" s="230">
        <f>I19/$F$16</f>
        <v>9.5038266825935983E-2</v>
      </c>
      <c r="J21" s="230">
        <f t="shared" ref="J21:U21" si="1">J19/$F$16</f>
        <v>0</v>
      </c>
      <c r="K21" s="230">
        <f t="shared" si="1"/>
        <v>0</v>
      </c>
      <c r="L21" s="230">
        <f t="shared" si="1"/>
        <v>0</v>
      </c>
      <c r="M21" s="230">
        <f t="shared" si="1"/>
        <v>0</v>
      </c>
      <c r="N21" s="230">
        <f t="shared" si="1"/>
        <v>0</v>
      </c>
      <c r="O21" s="230">
        <f t="shared" si="1"/>
        <v>0</v>
      </c>
      <c r="P21" s="230">
        <f t="shared" si="1"/>
        <v>0</v>
      </c>
      <c r="Q21" s="230">
        <f t="shared" si="1"/>
        <v>0</v>
      </c>
      <c r="R21" s="230">
        <f t="shared" si="1"/>
        <v>0</v>
      </c>
      <c r="S21" s="230">
        <f t="shared" si="1"/>
        <v>0</v>
      </c>
      <c r="T21" s="230">
        <f t="shared" si="1"/>
        <v>0</v>
      </c>
      <c r="U21" s="230">
        <f t="shared" si="1"/>
        <v>0</v>
      </c>
    </row>
    <row r="22" spans="1:21" ht="25.15" customHeight="1" thickBot="1" x14ac:dyDescent="0.3">
      <c r="B22" s="256" t="s">
        <v>290</v>
      </c>
      <c r="C22" s="256"/>
      <c r="D22" s="261">
        <f>D21*0.18</f>
        <v>147578576.69782761</v>
      </c>
      <c r="E22" s="261"/>
      <c r="G22" s="14"/>
    </row>
    <row r="23" spans="1:21" ht="25.15" customHeight="1" thickBot="1" x14ac:dyDescent="0.3">
      <c r="B23" s="256" t="s">
        <v>281</v>
      </c>
      <c r="C23" s="256"/>
      <c r="D23" s="253">
        <f>D21*0.01</f>
        <v>8198809.8165459791</v>
      </c>
      <c r="E23" s="254"/>
      <c r="G23" s="14"/>
    </row>
    <row r="24" spans="1:21" ht="25.15" customHeight="1" thickBot="1" x14ac:dyDescent="0.3">
      <c r="B24" s="256" t="s">
        <v>291</v>
      </c>
      <c r="C24" s="256"/>
      <c r="D24" s="261">
        <f>D21+D22+D23</f>
        <v>975658368.16897142</v>
      </c>
      <c r="E24" s="261"/>
      <c r="G24" s="14">
        <f>D24*0.2</f>
        <v>195131673.63379431</v>
      </c>
    </row>
    <row r="26" spans="1:21" ht="33" customHeight="1" x14ac:dyDescent="0.25">
      <c r="A26" s="257" t="s">
        <v>406</v>
      </c>
      <c r="B26" s="257"/>
      <c r="C26" s="257"/>
      <c r="D26" s="257"/>
      <c r="E26" s="257"/>
      <c r="F26" s="41"/>
      <c r="G26" s="41"/>
      <c r="H26" s="41"/>
      <c r="I26" s="41"/>
      <c r="J26" s="41"/>
    </row>
    <row r="27" spans="1:21" x14ac:dyDescent="0.25">
      <c r="B27" s="259"/>
      <c r="C27" s="260"/>
      <c r="D27" s="260"/>
      <c r="E27" s="260"/>
      <c r="F27" s="40"/>
      <c r="G27" s="40"/>
      <c r="H27" s="40"/>
      <c r="I27" s="40"/>
      <c r="J27" s="40"/>
    </row>
    <row r="28" spans="1:21" ht="15.75" x14ac:dyDescent="0.25">
      <c r="A28" s="258" t="s">
        <v>386</v>
      </c>
      <c r="B28" s="258"/>
      <c r="C28" s="258"/>
    </row>
    <row r="31" spans="1:21" ht="15.75" x14ac:dyDescent="0.25">
      <c r="A31" s="251" t="s">
        <v>292</v>
      </c>
      <c r="B31" s="251"/>
      <c r="C31" s="251"/>
    </row>
    <row r="32" spans="1:21" ht="10.9" customHeight="1" x14ac:dyDescent="0.25"/>
    <row r="33" spans="1:3" ht="15.75" x14ac:dyDescent="0.25">
      <c r="A33" s="251" t="s">
        <v>293</v>
      </c>
      <c r="B33" s="251"/>
      <c r="C33" s="251"/>
    </row>
  </sheetData>
  <mergeCells count="27">
    <mergeCell ref="F15:H15"/>
    <mergeCell ref="A7:E7"/>
    <mergeCell ref="A11:C11"/>
    <mergeCell ref="B20:C20"/>
    <mergeCell ref="B16:C16"/>
    <mergeCell ref="D16:E16"/>
    <mergeCell ref="D19:E19"/>
    <mergeCell ref="B17:C17"/>
    <mergeCell ref="B18:C18"/>
    <mergeCell ref="B19:C19"/>
    <mergeCell ref="D17:E17"/>
    <mergeCell ref="D18:E18"/>
    <mergeCell ref="A31:C31"/>
    <mergeCell ref="A33:C33"/>
    <mergeCell ref="B21:C21"/>
    <mergeCell ref="D23:E23"/>
    <mergeCell ref="A14:E14"/>
    <mergeCell ref="B22:C22"/>
    <mergeCell ref="B23:C23"/>
    <mergeCell ref="B24:C24"/>
    <mergeCell ref="A26:E26"/>
    <mergeCell ref="A28:C28"/>
    <mergeCell ref="B27:E27"/>
    <mergeCell ref="D22:E22"/>
    <mergeCell ref="D24:E24"/>
    <mergeCell ref="D20:E20"/>
    <mergeCell ref="D21:E21"/>
  </mergeCells>
  <pageMargins left="0.70866141732283472" right="0.70866141732283472" top="0.74803149606299213" bottom="0.74803149606299213" header="0.31496062992125984" footer="0.31496062992125984"/>
  <pageSetup paperSize="9" scale="84" orientation="portrait" r:id="rId1"/>
  <headerFooter>
    <oddHeader>&amp;L&amp;G</oddHeader>
    <oddFooter>&amp;C&amp;G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A4312-0E28-4B79-B314-D0EAD492AD39}">
  <dimension ref="A1:K44"/>
  <sheetViews>
    <sheetView workbookViewId="0">
      <selection activeCell="J21" sqref="J21"/>
    </sheetView>
  </sheetViews>
  <sheetFormatPr baseColWidth="10" defaultColWidth="10.85546875" defaultRowHeight="16.5" x14ac:dyDescent="0.3"/>
  <cols>
    <col min="1" max="1" width="9.42578125" style="217" bestFit="1" customWidth="1"/>
    <col min="2" max="2" width="31.7109375" style="217" bestFit="1" customWidth="1"/>
    <col min="3" max="3" width="15.140625" style="217" customWidth="1"/>
    <col min="4" max="4" width="13.85546875" style="208" bestFit="1" customWidth="1"/>
    <col min="5" max="5" width="12.28515625" style="208" bestFit="1" customWidth="1"/>
    <col min="6" max="7" width="13.85546875" style="208" bestFit="1" customWidth="1"/>
    <col min="8" max="8" width="13.140625" style="217" bestFit="1" customWidth="1"/>
    <col min="9" max="9" width="1.85546875" style="217" customWidth="1"/>
    <col min="10" max="10" width="24" style="217" bestFit="1" customWidth="1"/>
    <col min="11" max="16384" width="10.85546875" style="217"/>
  </cols>
  <sheetData>
    <row r="1" spans="1:11" ht="25.5" x14ac:dyDescent="0.3">
      <c r="A1" s="209" t="s">
        <v>416</v>
      </c>
      <c r="B1" s="209" t="s">
        <v>417</v>
      </c>
      <c r="C1" s="209" t="s">
        <v>418</v>
      </c>
      <c r="D1" s="210" t="s">
        <v>412</v>
      </c>
      <c r="E1" s="210" t="s">
        <v>432</v>
      </c>
      <c r="F1" s="210" t="s">
        <v>414</v>
      </c>
      <c r="G1" s="210" t="s">
        <v>433</v>
      </c>
      <c r="H1" s="215" t="s">
        <v>434</v>
      </c>
    </row>
    <row r="2" spans="1:11" x14ac:dyDescent="0.3">
      <c r="A2" s="219">
        <v>1</v>
      </c>
      <c r="B2" s="219" t="s">
        <v>419</v>
      </c>
      <c r="C2" s="220">
        <v>0.05</v>
      </c>
      <c r="D2" s="221">
        <f>C2*Récap!$D$17</f>
        <v>8214560.0512500023</v>
      </c>
      <c r="E2" s="221">
        <f>C2*Récap!$D$18</f>
        <v>5605109.4147500005</v>
      </c>
      <c r="F2" s="221">
        <f>C2*Récap!$D$19</f>
        <v>1854792.5878124998</v>
      </c>
      <c r="G2" s="221">
        <f>C2*Récap!$D$20</f>
        <v>25319587.028917391</v>
      </c>
      <c r="H2" s="222">
        <f>SUM(D2:G2)</f>
        <v>40994049.082729891</v>
      </c>
    </row>
    <row r="3" spans="1:11" x14ac:dyDescent="0.3">
      <c r="A3" s="219">
        <v>2</v>
      </c>
      <c r="B3" s="219" t="s">
        <v>420</v>
      </c>
      <c r="C3" s="220">
        <v>0.1</v>
      </c>
      <c r="D3" s="221">
        <f>C3*Récap!$D$17</f>
        <v>16429120.102500005</v>
      </c>
      <c r="E3" s="221">
        <f>C3*Récap!$D$18</f>
        <v>11210218.829500001</v>
      </c>
      <c r="F3" s="221">
        <f>C3*Récap!$D$19</f>
        <v>3709585.1756249997</v>
      </c>
      <c r="G3" s="221">
        <f>C3*Récap!$D$20</f>
        <v>50639174.057834782</v>
      </c>
      <c r="H3" s="222">
        <f t="shared" ref="H3:H13" si="0">SUM(D3:G3)</f>
        <v>81988098.165459782</v>
      </c>
    </row>
    <row r="4" spans="1:11" x14ac:dyDescent="0.3">
      <c r="A4" s="219">
        <v>3</v>
      </c>
      <c r="B4" s="219" t="s">
        <v>421</v>
      </c>
      <c r="C4" s="220">
        <v>0.18</v>
      </c>
      <c r="D4" s="221">
        <f>C4*Récap!$D$17</f>
        <v>29572416.184500005</v>
      </c>
      <c r="E4" s="221">
        <f>C4*Récap!$D$18</f>
        <v>20178393.893100001</v>
      </c>
      <c r="F4" s="221">
        <f>C4*Récap!$D$19</f>
        <v>6677253.316124999</v>
      </c>
      <c r="G4" s="221">
        <f>C4*Récap!$D$20</f>
        <v>91150513.3041026</v>
      </c>
      <c r="H4" s="222">
        <f t="shared" si="0"/>
        <v>147578576.69782761</v>
      </c>
    </row>
    <row r="5" spans="1:11" x14ac:dyDescent="0.3">
      <c r="A5" s="219">
        <v>4</v>
      </c>
      <c r="B5" s="219" t="s">
        <v>422</v>
      </c>
      <c r="C5" s="220">
        <v>0.22</v>
      </c>
      <c r="D5" s="221">
        <f>C5*Récap!$D$17</f>
        <v>36144064.22550001</v>
      </c>
      <c r="E5" s="221">
        <f>C5*Récap!$D$18</f>
        <v>24662481.424899999</v>
      </c>
      <c r="F5" s="221">
        <f>C5*Récap!$D$19</f>
        <v>8161087.3863749988</v>
      </c>
      <c r="G5" s="221">
        <f>C5*Récap!$D$20</f>
        <v>111406182.92723651</v>
      </c>
      <c r="H5" s="222">
        <f t="shared" si="0"/>
        <v>180373815.96401152</v>
      </c>
    </row>
    <row r="6" spans="1:11" x14ac:dyDescent="0.3">
      <c r="A6" s="211">
        <v>5</v>
      </c>
      <c r="B6" s="211" t="s">
        <v>423</v>
      </c>
      <c r="C6" s="212">
        <v>0.28000000000000003</v>
      </c>
      <c r="D6" s="213">
        <f>C6*Récap!$D$17</f>
        <v>46001536.287000015</v>
      </c>
      <c r="E6" s="213">
        <f>C6*Récap!$D$18</f>
        <v>31388612.722600002</v>
      </c>
      <c r="F6" s="213">
        <f>C6*Récap!$D$19</f>
        <v>10386838.49175</v>
      </c>
      <c r="G6" s="213">
        <f>C6*Récap!$D$20</f>
        <v>141789687.3619374</v>
      </c>
      <c r="H6" s="216">
        <f t="shared" si="0"/>
        <v>229566674.86328742</v>
      </c>
    </row>
    <row r="7" spans="1:11" x14ac:dyDescent="0.3">
      <c r="A7" s="211">
        <v>6</v>
      </c>
      <c r="B7" s="211" t="s">
        <v>424</v>
      </c>
      <c r="C7" s="212">
        <v>0.38</v>
      </c>
      <c r="D7" s="213">
        <f>C7*Récap!$D$17</f>
        <v>62430656.389500014</v>
      </c>
      <c r="E7" s="213">
        <f>C7*Récap!$D$18</f>
        <v>42598831.552100003</v>
      </c>
      <c r="F7" s="213">
        <f>C7*Récap!$D$19</f>
        <v>14096423.667374998</v>
      </c>
      <c r="G7" s="213">
        <f>C7*Récap!$D$20</f>
        <v>192428861.41977218</v>
      </c>
      <c r="H7" s="216">
        <f t="shared" si="0"/>
        <v>311554773.0287472</v>
      </c>
    </row>
    <row r="8" spans="1:11" x14ac:dyDescent="0.3">
      <c r="A8" s="211">
        <v>7</v>
      </c>
      <c r="B8" s="211" t="s">
        <v>425</v>
      </c>
      <c r="C8" s="212">
        <v>0.48</v>
      </c>
      <c r="D8" s="213">
        <f>C8*Récap!$D$17</f>
        <v>78859776.492000014</v>
      </c>
      <c r="E8" s="213">
        <f>C8*Récap!$D$18</f>
        <v>53809050.3816</v>
      </c>
      <c r="F8" s="213">
        <f>C8*Récap!$D$19</f>
        <v>17806008.842999995</v>
      </c>
      <c r="G8" s="213">
        <f>C8*Récap!$D$20</f>
        <v>243068035.47760692</v>
      </c>
      <c r="H8" s="216">
        <f t="shared" si="0"/>
        <v>393542871.19420695</v>
      </c>
    </row>
    <row r="9" spans="1:11" ht="27" x14ac:dyDescent="0.3">
      <c r="A9" s="211">
        <v>8</v>
      </c>
      <c r="B9" s="211" t="s">
        <v>426</v>
      </c>
      <c r="C9" s="212">
        <v>0.65</v>
      </c>
      <c r="D9" s="213">
        <f>C9*Récap!$D$17</f>
        <v>106789280.66625002</v>
      </c>
      <c r="E9" s="213">
        <f>C9*Récap!$D$18</f>
        <v>72866422.391750008</v>
      </c>
      <c r="F9" s="213">
        <f>C9*Récap!$D$19</f>
        <v>24112303.641562495</v>
      </c>
      <c r="G9" s="213">
        <f>C9*Récap!$D$20</f>
        <v>329154631.37592608</v>
      </c>
      <c r="H9" s="216">
        <f t="shared" si="0"/>
        <v>532922638.07548857</v>
      </c>
    </row>
    <row r="10" spans="1:11" x14ac:dyDescent="0.3">
      <c r="A10" s="211">
        <v>9</v>
      </c>
      <c r="B10" s="211" t="s">
        <v>427</v>
      </c>
      <c r="C10" s="212">
        <v>0.78</v>
      </c>
      <c r="D10" s="213">
        <f>C10*Récap!$D$17</f>
        <v>128147136.79950003</v>
      </c>
      <c r="E10" s="213">
        <f>C10*Récap!$D$18</f>
        <v>87439706.870100006</v>
      </c>
      <c r="F10" s="213">
        <f>C10*Récap!$D$19</f>
        <v>28934764.369874995</v>
      </c>
      <c r="G10" s="213">
        <f>C10*Récap!$D$20</f>
        <v>394985557.6511113</v>
      </c>
      <c r="H10" s="216">
        <f t="shared" si="0"/>
        <v>639507165.69058633</v>
      </c>
    </row>
    <row r="11" spans="1:11" x14ac:dyDescent="0.3">
      <c r="A11" s="211">
        <v>10</v>
      </c>
      <c r="B11" s="211" t="s">
        <v>428</v>
      </c>
      <c r="C11" s="212">
        <v>0.9</v>
      </c>
      <c r="D11" s="213">
        <f>C11*Récap!$D$17</f>
        <v>147862080.92250004</v>
      </c>
      <c r="E11" s="213">
        <f>C11*Récap!$D$18</f>
        <v>100891969.4655</v>
      </c>
      <c r="F11" s="213">
        <f>C11*Récap!$D$19</f>
        <v>33386266.580624994</v>
      </c>
      <c r="G11" s="213">
        <f>C11*Récap!$D$20</f>
        <v>455752566.52051306</v>
      </c>
      <c r="H11" s="216">
        <f t="shared" si="0"/>
        <v>737892883.48913813</v>
      </c>
    </row>
    <row r="12" spans="1:11" x14ac:dyDescent="0.3">
      <c r="A12" s="211">
        <v>11</v>
      </c>
      <c r="B12" s="211" t="s">
        <v>429</v>
      </c>
      <c r="C12" s="212">
        <v>0.97</v>
      </c>
      <c r="D12" s="213">
        <f>C12*Récap!$D$17</f>
        <v>159362464.99425003</v>
      </c>
      <c r="E12" s="213">
        <f>C12*Récap!$D$18</f>
        <v>108739122.64614999</v>
      </c>
      <c r="F12" s="213">
        <f>C12*Récap!$D$19</f>
        <v>35982976.203562491</v>
      </c>
      <c r="G12" s="213">
        <f>C12*Récap!$D$20</f>
        <v>491199988.36099738</v>
      </c>
      <c r="H12" s="216">
        <f t="shared" si="0"/>
        <v>795284552.20495987</v>
      </c>
    </row>
    <row r="13" spans="1:11" x14ac:dyDescent="0.3">
      <c r="A13" s="211">
        <v>12</v>
      </c>
      <c r="B13" s="211" t="s">
        <v>430</v>
      </c>
      <c r="C13" s="212">
        <v>0.99</v>
      </c>
      <c r="D13" s="213">
        <f>C13*Récap!$D$17</f>
        <v>162648289.01475003</v>
      </c>
      <c r="E13" s="213">
        <f>C13*Récap!$D$18</f>
        <v>110981166.41204999</v>
      </c>
      <c r="F13" s="213">
        <f>C13*Récap!$D$19</f>
        <v>36724893.238687493</v>
      </c>
      <c r="G13" s="213">
        <f>C13*Récap!$D$20</f>
        <v>501327823.17256433</v>
      </c>
      <c r="H13" s="216">
        <f t="shared" si="0"/>
        <v>811682171.8380518</v>
      </c>
      <c r="J13" s="217" t="s">
        <v>457</v>
      </c>
    </row>
    <row r="14" spans="1:11" x14ac:dyDescent="0.3">
      <c r="A14" s="211">
        <v>13</v>
      </c>
      <c r="B14" s="211" t="s">
        <v>431</v>
      </c>
      <c r="C14" s="212">
        <v>1</v>
      </c>
      <c r="D14" s="213">
        <f>C14*Récap!$D$17</f>
        <v>164291201.02500004</v>
      </c>
      <c r="E14" s="213">
        <f>C14*Récap!$D$18</f>
        <v>112102188.295</v>
      </c>
      <c r="F14" s="213">
        <f>C14*Récap!$D$19</f>
        <v>37095851.756249994</v>
      </c>
      <c r="G14" s="213">
        <f>C14*Récap!$D$20</f>
        <v>506391740.5783478</v>
      </c>
      <c r="H14" s="214">
        <f>SUM(D14:G14)</f>
        <v>819880981.65459788</v>
      </c>
      <c r="J14" s="250">
        <f>H14/12</f>
        <v>68323415.137883157</v>
      </c>
      <c r="K14" s="250"/>
    </row>
    <row r="16" spans="1:11" ht="30" x14ac:dyDescent="0.3">
      <c r="A16" s="204" t="s">
        <v>435</v>
      </c>
      <c r="B16" s="204" t="s">
        <v>436</v>
      </c>
      <c r="C16" s="204" t="s">
        <v>437</v>
      </c>
      <c r="D16" s="204" t="s">
        <v>438</v>
      </c>
      <c r="E16" s="204" t="s">
        <v>439</v>
      </c>
      <c r="F16" s="204" t="s">
        <v>458</v>
      </c>
      <c r="G16" s="225" t="s">
        <v>459</v>
      </c>
      <c r="H16" s="209"/>
    </row>
    <row r="17" spans="1:8" x14ac:dyDescent="0.3">
      <c r="A17" s="224">
        <v>45992</v>
      </c>
      <c r="B17" s="205" t="s">
        <v>440</v>
      </c>
      <c r="C17" s="206">
        <v>0.03</v>
      </c>
      <c r="D17" s="206">
        <v>0.03</v>
      </c>
      <c r="E17" s="206">
        <v>0.03</v>
      </c>
      <c r="F17" s="208">
        <f>D17*$H$14</f>
        <v>24596429.449637935</v>
      </c>
      <c r="G17" s="226">
        <f>F17</f>
        <v>24596429.449637935</v>
      </c>
    </row>
    <row r="18" spans="1:8" x14ac:dyDescent="0.3">
      <c r="A18" s="224">
        <v>46023</v>
      </c>
      <c r="B18" s="205" t="s">
        <v>441</v>
      </c>
      <c r="C18" s="206">
        <v>0.08</v>
      </c>
      <c r="D18" s="206">
        <v>0.05</v>
      </c>
      <c r="E18" s="206">
        <v>0.08</v>
      </c>
      <c r="F18" s="208">
        <f t="shared" ref="F18:F28" si="1">D18*$H$14</f>
        <v>40994049.082729898</v>
      </c>
      <c r="G18" s="226">
        <f>F18+G17</f>
        <v>65590478.532367833</v>
      </c>
    </row>
    <row r="19" spans="1:8" x14ac:dyDescent="0.3">
      <c r="A19" s="224">
        <v>46054</v>
      </c>
      <c r="B19" s="205" t="s">
        <v>442</v>
      </c>
      <c r="C19" s="206">
        <v>0.16</v>
      </c>
      <c r="D19" s="206">
        <v>0.08</v>
      </c>
      <c r="E19" s="206">
        <v>0.16</v>
      </c>
      <c r="F19" s="208">
        <f t="shared" si="1"/>
        <v>65590478.532367833</v>
      </c>
      <c r="G19" s="226">
        <f t="shared" ref="G19:G28" si="2">F19+G18</f>
        <v>131180957.06473567</v>
      </c>
    </row>
    <row r="20" spans="1:8" x14ac:dyDescent="0.3">
      <c r="A20" s="224">
        <v>46082</v>
      </c>
      <c r="B20" s="205" t="s">
        <v>443</v>
      </c>
      <c r="C20" s="206">
        <v>0.28000000000000003</v>
      </c>
      <c r="D20" s="206">
        <v>0.12</v>
      </c>
      <c r="E20" s="206">
        <v>0.28000000000000003</v>
      </c>
      <c r="F20" s="208">
        <f t="shared" si="1"/>
        <v>98385717.798551738</v>
      </c>
      <c r="G20" s="226">
        <f t="shared" si="2"/>
        <v>229566674.86328739</v>
      </c>
    </row>
    <row r="21" spans="1:8" x14ac:dyDescent="0.3">
      <c r="A21" s="224">
        <v>46113</v>
      </c>
      <c r="B21" s="205" t="s">
        <v>444</v>
      </c>
      <c r="C21" s="206">
        <v>0.42</v>
      </c>
      <c r="D21" s="206">
        <v>0.14000000000000001</v>
      </c>
      <c r="E21" s="206">
        <v>0.42</v>
      </c>
      <c r="F21" s="208">
        <f t="shared" si="1"/>
        <v>114783337.43164371</v>
      </c>
      <c r="G21" s="226">
        <f>F21+G20</f>
        <v>344350012.29493111</v>
      </c>
    </row>
    <row r="22" spans="1:8" x14ac:dyDescent="0.3">
      <c r="A22" s="224">
        <v>46143</v>
      </c>
      <c r="B22" s="205" t="s">
        <v>445</v>
      </c>
      <c r="C22" s="206">
        <v>0.57999999999999996</v>
      </c>
      <c r="D22" s="206">
        <v>0.16</v>
      </c>
      <c r="E22" s="206">
        <v>0.57999999999999996</v>
      </c>
      <c r="F22" s="208">
        <f t="shared" si="1"/>
        <v>131180957.06473567</v>
      </c>
      <c r="G22" s="226">
        <f t="shared" si="2"/>
        <v>475530969.35966676</v>
      </c>
    </row>
    <row r="23" spans="1:8" x14ac:dyDescent="0.3">
      <c r="A23" s="224">
        <v>46174</v>
      </c>
      <c r="B23" s="205" t="s">
        <v>445</v>
      </c>
      <c r="C23" s="206">
        <v>0.72</v>
      </c>
      <c r="D23" s="206">
        <v>0.14000000000000001</v>
      </c>
      <c r="E23" s="206">
        <v>0.72</v>
      </c>
      <c r="F23" s="208">
        <f t="shared" si="1"/>
        <v>114783337.43164371</v>
      </c>
      <c r="G23" s="226">
        <f t="shared" si="2"/>
        <v>590314306.79131043</v>
      </c>
    </row>
    <row r="24" spans="1:8" x14ac:dyDescent="0.3">
      <c r="A24" s="224">
        <v>46204</v>
      </c>
      <c r="B24" s="205" t="s">
        <v>446</v>
      </c>
      <c r="C24" s="206">
        <v>0.83</v>
      </c>
      <c r="D24" s="206">
        <v>0.11</v>
      </c>
      <c r="E24" s="206">
        <v>0.83</v>
      </c>
      <c r="F24" s="208">
        <f t="shared" si="1"/>
        <v>90186907.98200576</v>
      </c>
      <c r="G24" s="226">
        <f t="shared" si="2"/>
        <v>680501214.77331614</v>
      </c>
    </row>
    <row r="25" spans="1:8" x14ac:dyDescent="0.3">
      <c r="A25" s="224">
        <v>46235</v>
      </c>
      <c r="B25" s="205" t="s">
        <v>447</v>
      </c>
      <c r="C25" s="206">
        <v>0.9</v>
      </c>
      <c r="D25" s="206">
        <v>7.0000000000000007E-2</v>
      </c>
      <c r="E25" s="206">
        <v>0.9</v>
      </c>
      <c r="F25" s="208">
        <f t="shared" si="1"/>
        <v>57391668.715821855</v>
      </c>
      <c r="G25" s="226">
        <f t="shared" si="2"/>
        <v>737892883.48913801</v>
      </c>
    </row>
    <row r="26" spans="1:8" x14ac:dyDescent="0.3">
      <c r="A26" s="224">
        <v>46266</v>
      </c>
      <c r="B26" s="205" t="s">
        <v>448</v>
      </c>
      <c r="C26" s="206">
        <v>0.95</v>
      </c>
      <c r="D26" s="206">
        <v>0.05</v>
      </c>
      <c r="E26" s="206">
        <v>0.95</v>
      </c>
      <c r="F26" s="208">
        <f t="shared" si="1"/>
        <v>40994049.082729898</v>
      </c>
      <c r="G26" s="226">
        <f t="shared" si="2"/>
        <v>778886932.57186794</v>
      </c>
    </row>
    <row r="27" spans="1:8" x14ac:dyDescent="0.3">
      <c r="A27" s="224">
        <v>46296</v>
      </c>
      <c r="B27" s="205" t="s">
        <v>449</v>
      </c>
      <c r="C27" s="206">
        <v>0.98</v>
      </c>
      <c r="D27" s="206">
        <v>0.03</v>
      </c>
      <c r="E27" s="206">
        <v>0.98</v>
      </c>
      <c r="F27" s="208">
        <f t="shared" si="1"/>
        <v>24596429.449637935</v>
      </c>
      <c r="G27" s="226">
        <f t="shared" si="2"/>
        <v>803483362.02150583</v>
      </c>
    </row>
    <row r="28" spans="1:8" x14ac:dyDescent="0.3">
      <c r="A28" s="224">
        <v>46327</v>
      </c>
      <c r="B28" s="205" t="s">
        <v>450</v>
      </c>
      <c r="C28" s="206">
        <v>1</v>
      </c>
      <c r="D28" s="206">
        <v>0.02</v>
      </c>
      <c r="E28" s="206">
        <v>1</v>
      </c>
      <c r="F28" s="208">
        <f t="shared" si="1"/>
        <v>16397619.633091958</v>
      </c>
      <c r="G28" s="226">
        <f t="shared" si="2"/>
        <v>819880981.65459776</v>
      </c>
    </row>
    <row r="29" spans="1:8" x14ac:dyDescent="0.3">
      <c r="A29" s="224">
        <v>46357</v>
      </c>
      <c r="C29" s="218"/>
    </row>
    <row r="30" spans="1:8" x14ac:dyDescent="0.3">
      <c r="C30" s="218"/>
    </row>
    <row r="31" spans="1:8" ht="30" x14ac:dyDescent="0.3">
      <c r="A31" s="204" t="s">
        <v>435</v>
      </c>
      <c r="B31" s="204" t="s">
        <v>451</v>
      </c>
      <c r="C31" s="204" t="s">
        <v>452</v>
      </c>
      <c r="D31" s="204" t="s">
        <v>453</v>
      </c>
      <c r="E31" s="204" t="s">
        <v>454</v>
      </c>
      <c r="F31" s="204" t="s">
        <v>455</v>
      </c>
      <c r="G31" s="204" t="s">
        <v>453</v>
      </c>
      <c r="H31" s="204" t="s">
        <v>456</v>
      </c>
    </row>
    <row r="32" spans="1:8" x14ac:dyDescent="0.3">
      <c r="A32" s="224">
        <v>45992</v>
      </c>
      <c r="B32" s="228">
        <v>24596429.449637935</v>
      </c>
      <c r="C32" s="205"/>
      <c r="D32" s="228">
        <f>C32-B32</f>
        <v>-24596429.449637935</v>
      </c>
      <c r="E32" s="206">
        <f>B32/$G$28</f>
        <v>3.0000000000000002E-2</v>
      </c>
      <c r="F32" s="206">
        <f>C32/$G$28</f>
        <v>0</v>
      </c>
      <c r="G32" s="205"/>
      <c r="H32" s="205"/>
    </row>
    <row r="33" spans="1:8" x14ac:dyDescent="0.3">
      <c r="A33" s="224">
        <v>46023</v>
      </c>
      <c r="B33" s="228">
        <v>40994049.082729898</v>
      </c>
      <c r="C33" s="227">
        <f>Récap!$I$20</f>
        <v>77920067.5</v>
      </c>
      <c r="D33" s="228">
        <f t="shared" ref="D33:D44" si="3">C33-B33</f>
        <v>36926018.417270102</v>
      </c>
      <c r="E33" s="206">
        <f t="shared" ref="E33:E43" si="4">B33/$G$28</f>
        <v>5.000000000000001E-2</v>
      </c>
      <c r="F33" s="206">
        <f t="shared" ref="F33:F43" si="5">C33/$G$28</f>
        <v>9.5038266825935996E-2</v>
      </c>
      <c r="G33" s="205"/>
      <c r="H33" s="205"/>
    </row>
    <row r="34" spans="1:8" x14ac:dyDescent="0.3">
      <c r="A34" s="224">
        <v>46054</v>
      </c>
      <c r="B34" s="228">
        <v>65590478.532367833</v>
      </c>
      <c r="C34" s="227">
        <f>Récap!$J$20</f>
        <v>0</v>
      </c>
      <c r="D34" s="228">
        <f t="shared" si="3"/>
        <v>-65590478.532367833</v>
      </c>
      <c r="E34" s="236">
        <f t="shared" si="4"/>
        <v>8.0000000000000016E-2</v>
      </c>
      <c r="F34" s="206">
        <f t="shared" si="5"/>
        <v>0</v>
      </c>
      <c r="G34" s="205"/>
      <c r="H34"/>
    </row>
    <row r="35" spans="1:8" x14ac:dyDescent="0.3">
      <c r="A35" s="224">
        <v>46082</v>
      </c>
      <c r="B35" s="208">
        <v>98385717.798551738</v>
      </c>
      <c r="C35" s="223">
        <f>Récap!$K$20</f>
        <v>0</v>
      </c>
      <c r="D35" s="208">
        <f t="shared" si="3"/>
        <v>-98385717.798551738</v>
      </c>
      <c r="E35" s="237">
        <f t="shared" si="4"/>
        <v>0.12000000000000001</v>
      </c>
      <c r="F35" s="206">
        <f t="shared" si="5"/>
        <v>0</v>
      </c>
    </row>
    <row r="36" spans="1:8" x14ac:dyDescent="0.3">
      <c r="A36" s="224">
        <v>46113</v>
      </c>
      <c r="B36" s="208">
        <v>114783337.43164371</v>
      </c>
      <c r="C36" s="223">
        <f>Récap!$L$20</f>
        <v>0</v>
      </c>
      <c r="D36" s="208">
        <f t="shared" si="3"/>
        <v>-114783337.43164371</v>
      </c>
      <c r="E36" s="237">
        <f t="shared" si="4"/>
        <v>0.14000000000000004</v>
      </c>
      <c r="F36" s="206">
        <f t="shared" si="5"/>
        <v>0</v>
      </c>
    </row>
    <row r="37" spans="1:8" x14ac:dyDescent="0.3">
      <c r="A37" s="224">
        <v>46143</v>
      </c>
      <c r="B37" s="208">
        <v>131180957.06473567</v>
      </c>
      <c r="C37" s="223">
        <f>Récap!$M$20</f>
        <v>0</v>
      </c>
      <c r="D37" s="208">
        <f t="shared" si="3"/>
        <v>-131180957.06473567</v>
      </c>
      <c r="E37" s="237">
        <f t="shared" si="4"/>
        <v>0.16000000000000003</v>
      </c>
      <c r="F37" s="206">
        <f t="shared" si="5"/>
        <v>0</v>
      </c>
    </row>
    <row r="38" spans="1:8" x14ac:dyDescent="0.3">
      <c r="A38" s="224">
        <v>46174</v>
      </c>
      <c r="B38" s="208">
        <v>114783337.43164371</v>
      </c>
      <c r="C38" s="223">
        <f>Récap!$N$20</f>
        <v>0</v>
      </c>
      <c r="D38" s="208">
        <f t="shared" si="3"/>
        <v>-114783337.43164371</v>
      </c>
      <c r="E38" s="237">
        <f t="shared" si="4"/>
        <v>0.14000000000000004</v>
      </c>
      <c r="F38" s="206">
        <f t="shared" si="5"/>
        <v>0</v>
      </c>
    </row>
    <row r="39" spans="1:8" x14ac:dyDescent="0.3">
      <c r="A39" s="224">
        <v>46204</v>
      </c>
      <c r="B39" s="208">
        <v>90186907.98200576</v>
      </c>
      <c r="C39" s="223">
        <f>Récap!$O$20</f>
        <v>0</v>
      </c>
      <c r="D39" s="208">
        <f t="shared" si="3"/>
        <v>-90186907.98200576</v>
      </c>
      <c r="E39" s="237">
        <f t="shared" si="4"/>
        <v>0.11000000000000001</v>
      </c>
      <c r="F39" s="206">
        <f t="shared" si="5"/>
        <v>0</v>
      </c>
    </row>
    <row r="40" spans="1:8" x14ac:dyDescent="0.3">
      <c r="A40" s="224">
        <v>46235</v>
      </c>
      <c r="B40" s="208">
        <v>57391668.715821855</v>
      </c>
      <c r="C40" s="223">
        <f>Récap!$P$20</f>
        <v>0</v>
      </c>
      <c r="D40" s="208">
        <f t="shared" si="3"/>
        <v>-57391668.715821855</v>
      </c>
      <c r="E40" s="237">
        <f t="shared" si="4"/>
        <v>7.0000000000000021E-2</v>
      </c>
      <c r="F40" s="206">
        <f t="shared" si="5"/>
        <v>0</v>
      </c>
    </row>
    <row r="41" spans="1:8" x14ac:dyDescent="0.3">
      <c r="A41" s="224">
        <v>46266</v>
      </c>
      <c r="B41" s="208">
        <v>40994049.082729898</v>
      </c>
      <c r="C41" s="223">
        <f>Récap!$Q$20</f>
        <v>0</v>
      </c>
      <c r="D41" s="208">
        <f t="shared" si="3"/>
        <v>-40994049.082729898</v>
      </c>
      <c r="E41" s="237">
        <f t="shared" si="4"/>
        <v>5.000000000000001E-2</v>
      </c>
      <c r="F41" s="206">
        <f t="shared" si="5"/>
        <v>0</v>
      </c>
    </row>
    <row r="42" spans="1:8" x14ac:dyDescent="0.3">
      <c r="A42" s="224">
        <v>46296</v>
      </c>
      <c r="B42" s="208">
        <v>24596429.449637935</v>
      </c>
      <c r="C42" s="223">
        <f>Récap!$R$20</f>
        <v>0</v>
      </c>
      <c r="D42" s="208">
        <f t="shared" si="3"/>
        <v>-24596429.449637935</v>
      </c>
      <c r="E42" s="237">
        <f t="shared" si="4"/>
        <v>3.0000000000000002E-2</v>
      </c>
      <c r="F42" s="206">
        <f t="shared" si="5"/>
        <v>0</v>
      </c>
    </row>
    <row r="43" spans="1:8" x14ac:dyDescent="0.3">
      <c r="A43" s="224">
        <v>46327</v>
      </c>
      <c r="B43" s="208">
        <v>16397619.633091958</v>
      </c>
      <c r="C43" s="223">
        <f>Récap!$S$20</f>
        <v>0</v>
      </c>
      <c r="D43" s="208">
        <f t="shared" si="3"/>
        <v>-16397619.633091958</v>
      </c>
      <c r="E43" s="237">
        <f t="shared" si="4"/>
        <v>2.0000000000000004E-2</v>
      </c>
      <c r="F43" s="206">
        <f t="shared" si="5"/>
        <v>0</v>
      </c>
    </row>
    <row r="44" spans="1:8" x14ac:dyDescent="0.3">
      <c r="A44" s="224">
        <v>46357</v>
      </c>
      <c r="D44" s="208">
        <f t="shared" si="3"/>
        <v>0</v>
      </c>
    </row>
  </sheetData>
  <mergeCells count="1">
    <mergeCell ref="J14:K14"/>
  </mergeCells>
  <conditionalFormatting sqref="D32:D43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2E989-9C68-4F0D-AD05-5AC780152173}">
  <sheetPr codeName="Feuil6"/>
  <dimension ref="A3:L133"/>
  <sheetViews>
    <sheetView tabSelected="1" view="pageBreakPreview" zoomScaleNormal="100" zoomScaleSheetLayoutView="100" workbookViewId="0">
      <selection activeCell="H24" sqref="H24"/>
    </sheetView>
  </sheetViews>
  <sheetFormatPr baseColWidth="10" defaultRowHeight="15" x14ac:dyDescent="0.25"/>
  <cols>
    <col min="1" max="1" width="5.85546875" style="2" customWidth="1"/>
    <col min="2" max="2" width="61.28515625" style="1" customWidth="1"/>
    <col min="3" max="3" width="5.28515625" style="3" customWidth="1"/>
    <col min="4" max="4" width="9.140625" style="42" customWidth="1"/>
    <col min="5" max="5" width="11.42578125" style="2"/>
    <col min="6" max="6" width="14.5703125" style="2" customWidth="1"/>
    <col min="7" max="7" width="12.85546875" bestFit="1" customWidth="1"/>
    <col min="8" max="8" width="42.7109375" bestFit="1" customWidth="1"/>
  </cols>
  <sheetData>
    <row r="3" spans="1:6" ht="42" customHeight="1" x14ac:dyDescent="0.3">
      <c r="A3" s="283" t="s">
        <v>385</v>
      </c>
      <c r="B3" s="283"/>
      <c r="C3" s="283"/>
      <c r="D3" s="283"/>
      <c r="E3" s="283"/>
      <c r="F3" s="283"/>
    </row>
    <row r="5" spans="1:6" ht="18" x14ac:dyDescent="0.25">
      <c r="A5" s="284" t="s">
        <v>275</v>
      </c>
      <c r="B5" s="285"/>
      <c r="C5" s="285"/>
      <c r="D5" s="285"/>
      <c r="E5" s="285"/>
      <c r="F5" s="285"/>
    </row>
    <row r="7" spans="1:6" ht="15.75" x14ac:dyDescent="0.25">
      <c r="A7" s="286" t="s">
        <v>409</v>
      </c>
      <c r="B7" s="278"/>
      <c r="E7" s="2" t="s">
        <v>402</v>
      </c>
    </row>
    <row r="11" spans="1:6" ht="12.6" customHeight="1" x14ac:dyDescent="0.25"/>
    <row r="12" spans="1:6" x14ac:dyDescent="0.25">
      <c r="A12" s="15" t="s">
        <v>0</v>
      </c>
      <c r="B12" s="16" t="s">
        <v>1</v>
      </c>
      <c r="C12" s="17" t="s">
        <v>272</v>
      </c>
      <c r="D12" s="18" t="s">
        <v>273</v>
      </c>
      <c r="E12" s="17" t="s">
        <v>274</v>
      </c>
      <c r="F12" s="17" t="s">
        <v>271</v>
      </c>
    </row>
    <row r="13" spans="1:6" x14ac:dyDescent="0.25">
      <c r="A13" s="19" t="s">
        <v>39</v>
      </c>
      <c r="B13" s="297" t="s">
        <v>49</v>
      </c>
      <c r="C13" s="297"/>
      <c r="D13" s="297"/>
      <c r="E13" s="20"/>
      <c r="F13" s="20"/>
    </row>
    <row r="14" spans="1:6" x14ac:dyDescent="0.25">
      <c r="A14" s="21" t="s">
        <v>37</v>
      </c>
      <c r="B14" s="22" t="s">
        <v>3</v>
      </c>
      <c r="C14" s="21" t="s">
        <v>4</v>
      </c>
      <c r="D14" s="23">
        <v>1</v>
      </c>
      <c r="E14" s="24">
        <v>0</v>
      </c>
      <c r="F14" s="24">
        <f>+E14*D14</f>
        <v>0</v>
      </c>
    </row>
    <row r="15" spans="1:6" x14ac:dyDescent="0.25">
      <c r="A15" s="21" t="s">
        <v>38</v>
      </c>
      <c r="B15" s="22" t="s">
        <v>72</v>
      </c>
      <c r="C15" s="21" t="s">
        <v>4</v>
      </c>
      <c r="D15" s="23">
        <v>1</v>
      </c>
      <c r="E15" s="35">
        <v>0</v>
      </c>
      <c r="F15" s="24">
        <f>+E15*D15</f>
        <v>0</v>
      </c>
    </row>
    <row r="16" spans="1:6" x14ac:dyDescent="0.25">
      <c r="A16" s="72"/>
      <c r="B16" s="77" t="s">
        <v>278</v>
      </c>
      <c r="C16" s="73"/>
      <c r="D16" s="74"/>
      <c r="E16" s="75"/>
      <c r="F16" s="76">
        <f>SUM(F14:F15)</f>
        <v>0</v>
      </c>
    </row>
    <row r="17" spans="1:6" x14ac:dyDescent="0.25">
      <c r="A17" s="86" t="s">
        <v>5</v>
      </c>
      <c r="B17" s="297" t="s">
        <v>276</v>
      </c>
      <c r="C17" s="297"/>
      <c r="D17" s="297"/>
      <c r="E17" s="297"/>
      <c r="F17" s="297"/>
    </row>
    <row r="18" spans="1:6" x14ac:dyDescent="0.25">
      <c r="A18" s="86" t="s">
        <v>6</v>
      </c>
      <c r="B18" s="294" t="s">
        <v>73</v>
      </c>
      <c r="C18" s="295"/>
      <c r="D18" s="295"/>
      <c r="E18" s="295"/>
      <c r="F18" s="296"/>
    </row>
    <row r="19" spans="1:6" x14ac:dyDescent="0.25">
      <c r="A19" s="86" t="s">
        <v>7</v>
      </c>
      <c r="B19" s="27" t="s">
        <v>74</v>
      </c>
      <c r="C19" s="28" t="s">
        <v>296</v>
      </c>
      <c r="D19" s="23">
        <f>((128.5*0.6*0.55)+(38*0.6*0.6*0.2))*1.2</f>
        <v>54.169199999999996</v>
      </c>
      <c r="E19" s="24">
        <f>11000*1.25</f>
        <v>13750</v>
      </c>
      <c r="F19" s="24">
        <f>D19*E19</f>
        <v>744826.5</v>
      </c>
    </row>
    <row r="20" spans="1:6" x14ac:dyDescent="0.25">
      <c r="A20" s="86" t="s">
        <v>8</v>
      </c>
      <c r="B20" s="27" t="s">
        <v>75</v>
      </c>
      <c r="C20" s="28" t="s">
        <v>296</v>
      </c>
      <c r="D20" s="23">
        <f>(128.5*0.6*0.05)+(0.6*0.6*0.05*38)</f>
        <v>4.5389999999999997</v>
      </c>
      <c r="E20" s="24">
        <f>182000*1.25</f>
        <v>227500</v>
      </c>
      <c r="F20" s="24">
        <f t="shared" ref="F20:F26" si="0">D20*E20</f>
        <v>1032622.4999999999</v>
      </c>
    </row>
    <row r="21" spans="1:6" x14ac:dyDescent="0.25">
      <c r="A21" s="86" t="s">
        <v>9</v>
      </c>
      <c r="B21" s="27" t="s">
        <v>76</v>
      </c>
      <c r="C21" s="28" t="s">
        <v>296</v>
      </c>
      <c r="D21" s="23">
        <f>(128.5*0.6*0.15)+(0.6*0.6*0.15*38)</f>
        <v>13.616999999999999</v>
      </c>
      <c r="E21" s="24">
        <v>350000</v>
      </c>
      <c r="F21" s="24">
        <f t="shared" si="0"/>
        <v>4765950</v>
      </c>
    </row>
    <row r="22" spans="1:6" x14ac:dyDescent="0.25">
      <c r="A22" s="86" t="s">
        <v>10</v>
      </c>
      <c r="B22" s="27" t="s">
        <v>77</v>
      </c>
      <c r="C22" s="28" t="s">
        <v>296</v>
      </c>
      <c r="D22" s="23">
        <f>0.15*0.3*1*30</f>
        <v>1.3499999999999999</v>
      </c>
      <c r="E22" s="24">
        <v>350000</v>
      </c>
      <c r="F22" s="24">
        <f t="shared" si="0"/>
        <v>472499.99999999994</v>
      </c>
    </row>
    <row r="23" spans="1:6" x14ac:dyDescent="0.25">
      <c r="A23" s="86" t="s">
        <v>11</v>
      </c>
      <c r="B23" s="27" t="s">
        <v>78</v>
      </c>
      <c r="C23" s="28" t="s">
        <v>296</v>
      </c>
      <c r="D23" s="23">
        <f>128.5*0.2*0.2</f>
        <v>5.1400000000000006</v>
      </c>
      <c r="E23" s="24">
        <v>350000</v>
      </c>
      <c r="F23" s="24">
        <f t="shared" si="0"/>
        <v>1799000.0000000002</v>
      </c>
    </row>
    <row r="24" spans="1:6" x14ac:dyDescent="0.25">
      <c r="A24" s="86" t="s">
        <v>12</v>
      </c>
      <c r="B24" s="27" t="s">
        <v>79</v>
      </c>
      <c r="C24" s="28" t="s">
        <v>159</v>
      </c>
      <c r="D24" s="23">
        <f>128.5*0.8</f>
        <v>102.80000000000001</v>
      </c>
      <c r="E24" s="24">
        <f>29900*1.25</f>
        <v>37375</v>
      </c>
      <c r="F24" s="24">
        <f t="shared" si="0"/>
        <v>3842150.0000000005</v>
      </c>
    </row>
    <row r="25" spans="1:6" x14ac:dyDescent="0.25">
      <c r="A25" s="86" t="s">
        <v>70</v>
      </c>
      <c r="B25" s="27" t="s">
        <v>80</v>
      </c>
      <c r="C25" s="28" t="s">
        <v>296</v>
      </c>
      <c r="D25" s="23">
        <f>252.83*0.4</f>
        <v>101.13200000000001</v>
      </c>
      <c r="E25" s="24">
        <f>19000*1.25</f>
        <v>23750</v>
      </c>
      <c r="F25" s="24">
        <f t="shared" si="0"/>
        <v>2401885</v>
      </c>
    </row>
    <row r="26" spans="1:6" ht="22.5" x14ac:dyDescent="0.25">
      <c r="A26" s="86" t="s">
        <v>71</v>
      </c>
      <c r="B26" s="27" t="s">
        <v>81</v>
      </c>
      <c r="C26" s="28" t="s">
        <v>296</v>
      </c>
      <c r="D26" s="23">
        <f>252.83*0.13</f>
        <v>32.867900000000006</v>
      </c>
      <c r="E26" s="35">
        <f>E22</f>
        <v>350000</v>
      </c>
      <c r="F26" s="24">
        <f t="shared" si="0"/>
        <v>11503765.000000002</v>
      </c>
    </row>
    <row r="27" spans="1:6" x14ac:dyDescent="0.25">
      <c r="A27" s="86" t="s">
        <v>13</v>
      </c>
      <c r="B27" s="294" t="s">
        <v>82</v>
      </c>
      <c r="C27" s="295"/>
      <c r="D27" s="295"/>
      <c r="E27" s="295"/>
      <c r="F27" s="296"/>
    </row>
    <row r="28" spans="1:6" x14ac:dyDescent="0.25">
      <c r="A28" s="86" t="s">
        <v>182</v>
      </c>
      <c r="B28" s="29" t="s">
        <v>83</v>
      </c>
      <c r="C28" s="28" t="s">
        <v>159</v>
      </c>
      <c r="D28" s="23">
        <f>128.5*3</f>
        <v>385.5</v>
      </c>
      <c r="E28" s="24">
        <f>27690*1.25</f>
        <v>34612.5</v>
      </c>
      <c r="F28" s="24">
        <f>D28*E28</f>
        <v>13343118.75</v>
      </c>
    </row>
    <row r="29" spans="1:6" x14ac:dyDescent="0.25">
      <c r="A29" s="86" t="s">
        <v>183</v>
      </c>
      <c r="B29" s="29" t="s">
        <v>50</v>
      </c>
      <c r="C29" s="28" t="s">
        <v>296</v>
      </c>
      <c r="D29" s="23">
        <f>0.15*0.3*4*30</f>
        <v>5.3999999999999995</v>
      </c>
      <c r="E29" s="24">
        <f>E21</f>
        <v>350000</v>
      </c>
      <c r="F29" s="24">
        <f t="shared" ref="F29:F31" si="1">D29*E29</f>
        <v>1889999.9999999998</v>
      </c>
    </row>
    <row r="30" spans="1:6" x14ac:dyDescent="0.25">
      <c r="A30" s="86" t="s">
        <v>305</v>
      </c>
      <c r="B30" s="29" t="s">
        <v>51</v>
      </c>
      <c r="C30" s="28" t="s">
        <v>296</v>
      </c>
      <c r="D30" s="23">
        <f>128.5*0.2*0.2</f>
        <v>5.1400000000000006</v>
      </c>
      <c r="E30" s="24">
        <f>E22</f>
        <v>350000</v>
      </c>
      <c r="F30" s="24">
        <f t="shared" si="1"/>
        <v>1799000.0000000002</v>
      </c>
    </row>
    <row r="31" spans="1:6" x14ac:dyDescent="0.25">
      <c r="A31" s="86" t="s">
        <v>184</v>
      </c>
      <c r="B31" s="29" t="s">
        <v>52</v>
      </c>
      <c r="C31" s="28" t="s">
        <v>296</v>
      </c>
      <c r="D31" s="23">
        <f>((0.2+1.5+0.2*7)+(0.2+0.75+0.2*13))*0.2*0.2</f>
        <v>0.26600000000000001</v>
      </c>
      <c r="E31" s="24">
        <f>E23</f>
        <v>350000</v>
      </c>
      <c r="F31" s="24">
        <f t="shared" si="1"/>
        <v>93100</v>
      </c>
    </row>
    <row r="32" spans="1:6" x14ac:dyDescent="0.25">
      <c r="A32" s="86" t="s">
        <v>185</v>
      </c>
      <c r="B32" s="294" t="s">
        <v>84</v>
      </c>
      <c r="C32" s="295"/>
      <c r="D32" s="295"/>
      <c r="E32" s="295"/>
      <c r="F32" s="296">
        <f t="shared" ref="F32:F38" si="2">+E32*D32</f>
        <v>0</v>
      </c>
    </row>
    <row r="33" spans="1:12" x14ac:dyDescent="0.25">
      <c r="A33" s="86" t="s">
        <v>334</v>
      </c>
      <c r="B33" s="29" t="s">
        <v>53</v>
      </c>
      <c r="C33" s="28" t="s">
        <v>159</v>
      </c>
      <c r="D33" s="23">
        <v>252</v>
      </c>
      <c r="E33" s="24">
        <v>16500</v>
      </c>
      <c r="F33" s="24">
        <f t="shared" si="2"/>
        <v>4158000</v>
      </c>
    </row>
    <row r="34" spans="1:12" x14ac:dyDescent="0.25">
      <c r="A34" s="86" t="s">
        <v>335</v>
      </c>
      <c r="B34" s="29" t="s">
        <v>65</v>
      </c>
      <c r="C34" s="28" t="s">
        <v>159</v>
      </c>
      <c r="D34" s="23">
        <f>D33</f>
        <v>252</v>
      </c>
      <c r="E34" s="24">
        <f>25740</f>
        <v>25740</v>
      </c>
      <c r="F34" s="24">
        <f t="shared" si="2"/>
        <v>6486480</v>
      </c>
      <c r="L34" s="43">
        <v>1.35</v>
      </c>
    </row>
    <row r="35" spans="1:12" x14ac:dyDescent="0.25">
      <c r="A35" s="86" t="s">
        <v>336</v>
      </c>
      <c r="B35" s="29" t="s">
        <v>54</v>
      </c>
      <c r="C35" s="28" t="s">
        <v>159</v>
      </c>
      <c r="D35" s="23">
        <f>(29.5*2)+(15.62*2)+(1.2*2)</f>
        <v>92.64</v>
      </c>
      <c r="E35" s="24">
        <f>6864*1.25</f>
        <v>8580</v>
      </c>
      <c r="F35" s="24">
        <f t="shared" si="2"/>
        <v>794851.2</v>
      </c>
      <c r="L35" s="44">
        <f>K35*$L$34</f>
        <v>0</v>
      </c>
    </row>
    <row r="36" spans="1:12" x14ac:dyDescent="0.25">
      <c r="A36" s="86" t="s">
        <v>337</v>
      </c>
      <c r="B36" s="29" t="s">
        <v>55</v>
      </c>
      <c r="C36" s="28" t="s">
        <v>159</v>
      </c>
      <c r="D36" s="23">
        <f>19.35+12.6+6.3+9.45+4+4+9.45+7.43+19.35+3+3+2.6</f>
        <v>100.53</v>
      </c>
      <c r="E36" s="24">
        <f>16000*1.5</f>
        <v>24000</v>
      </c>
      <c r="F36" s="24">
        <f t="shared" si="2"/>
        <v>2412720</v>
      </c>
    </row>
    <row r="37" spans="1:12" x14ac:dyDescent="0.25">
      <c r="A37" s="86" t="s">
        <v>15</v>
      </c>
      <c r="B37" s="29" t="s">
        <v>56</v>
      </c>
      <c r="C37" s="28" t="s">
        <v>159</v>
      </c>
      <c r="D37" s="23">
        <f>D35</f>
        <v>92.64</v>
      </c>
      <c r="E37" s="35">
        <f>(7500+21000)</f>
        <v>28500</v>
      </c>
      <c r="F37" s="24">
        <f>+E37*D37</f>
        <v>2640240</v>
      </c>
    </row>
    <row r="38" spans="1:12" x14ac:dyDescent="0.25">
      <c r="A38" s="86" t="s">
        <v>16</v>
      </c>
      <c r="B38" s="30" t="s">
        <v>251</v>
      </c>
      <c r="C38" s="28" t="s">
        <v>22</v>
      </c>
      <c r="D38" s="23">
        <v>8</v>
      </c>
      <c r="E38" s="35">
        <f>0.2*0.2*3.15*500000+50000</f>
        <v>113000.00000000001</v>
      </c>
      <c r="F38" s="24">
        <f t="shared" si="2"/>
        <v>904000.00000000012</v>
      </c>
    </row>
    <row r="39" spans="1:12" x14ac:dyDescent="0.25">
      <c r="A39" s="86" t="s">
        <v>338</v>
      </c>
      <c r="B39" s="294" t="s">
        <v>85</v>
      </c>
      <c r="C39" s="295"/>
      <c r="D39" s="295"/>
      <c r="E39" s="295"/>
      <c r="F39" s="296"/>
    </row>
    <row r="40" spans="1:12" x14ac:dyDescent="0.25">
      <c r="A40" s="86" t="s">
        <v>17</v>
      </c>
      <c r="B40" s="27" t="s">
        <v>252</v>
      </c>
      <c r="C40" s="28" t="s">
        <v>159</v>
      </c>
      <c r="D40" s="23">
        <f>129*3*2</f>
        <v>774</v>
      </c>
      <c r="E40" s="24">
        <v>9150</v>
      </c>
      <c r="F40" s="24">
        <f>+E40*D40</f>
        <v>7082100</v>
      </c>
    </row>
    <row r="41" spans="1:12" x14ac:dyDescent="0.25">
      <c r="A41" s="86" t="s">
        <v>18</v>
      </c>
      <c r="B41" s="27" t="s">
        <v>253</v>
      </c>
      <c r="C41" s="28" t="s">
        <v>159</v>
      </c>
      <c r="D41" s="23">
        <f>D36</f>
        <v>100.53</v>
      </c>
      <c r="E41" s="24">
        <v>9750</v>
      </c>
      <c r="F41" s="24">
        <f>+E41*D41</f>
        <v>980167.5</v>
      </c>
    </row>
    <row r="42" spans="1:12" x14ac:dyDescent="0.25">
      <c r="A42" s="86" t="s">
        <v>19</v>
      </c>
      <c r="B42" s="27" t="s">
        <v>86</v>
      </c>
      <c r="C42" s="28" t="s">
        <v>159</v>
      </c>
      <c r="D42" s="23">
        <f>(0.3*2+0.2*2)*3.72</f>
        <v>3.72</v>
      </c>
      <c r="E42" s="24">
        <f>'[1]Gare fluviale,'!$E$51</f>
        <v>8820</v>
      </c>
      <c r="F42" s="24">
        <f>+E42*D42</f>
        <v>32810.400000000001</v>
      </c>
    </row>
    <row r="43" spans="1:12" x14ac:dyDescent="0.25">
      <c r="A43" s="86" t="s">
        <v>339</v>
      </c>
      <c r="B43" s="29" t="s">
        <v>87</v>
      </c>
      <c r="C43" s="28" t="s">
        <v>159</v>
      </c>
      <c r="D43" s="23">
        <f>3</f>
        <v>3</v>
      </c>
      <c r="E43" s="24">
        <v>35000</v>
      </c>
      <c r="F43" s="24">
        <f>+E43*D43</f>
        <v>105000</v>
      </c>
    </row>
    <row r="44" spans="1:12" x14ac:dyDescent="0.25">
      <c r="A44" s="86" t="s">
        <v>340</v>
      </c>
      <c r="B44" s="29" t="s">
        <v>88</v>
      </c>
      <c r="C44" s="28" t="s">
        <v>159</v>
      </c>
      <c r="D44" s="23">
        <f>D25/0.4-3</f>
        <v>249.83</v>
      </c>
      <c r="E44" s="24">
        <v>35000</v>
      </c>
      <c r="F44" s="24">
        <f t="shared" ref="F44" si="3">+E44*D44</f>
        <v>8744050</v>
      </c>
    </row>
    <row r="45" spans="1:12" x14ac:dyDescent="0.25">
      <c r="A45" s="86" t="s">
        <v>341</v>
      </c>
      <c r="B45" s="29" t="s">
        <v>62</v>
      </c>
      <c r="C45" s="28" t="s">
        <v>159</v>
      </c>
      <c r="D45" s="23">
        <f>1.5*2*4</f>
        <v>12</v>
      </c>
      <c r="E45" s="24">
        <f>26558*1.25</f>
        <v>33197.5</v>
      </c>
      <c r="F45" s="24">
        <f>+E45*D45</f>
        <v>398370</v>
      </c>
    </row>
    <row r="46" spans="1:12" x14ac:dyDescent="0.25">
      <c r="A46" s="86" t="s">
        <v>342</v>
      </c>
      <c r="B46" s="27" t="s">
        <v>57</v>
      </c>
      <c r="C46" s="28" t="s">
        <v>14</v>
      </c>
      <c r="D46" s="23">
        <f>129</f>
        <v>129</v>
      </c>
      <c r="E46" s="24">
        <f>20768*1.25</f>
        <v>25960</v>
      </c>
      <c r="F46" s="24">
        <f>+E46*D46</f>
        <v>3348840</v>
      </c>
    </row>
    <row r="47" spans="1:12" x14ac:dyDescent="0.25">
      <c r="A47" s="86" t="s">
        <v>40</v>
      </c>
      <c r="B47" s="294" t="s">
        <v>262</v>
      </c>
      <c r="C47" s="295"/>
      <c r="D47" s="295"/>
      <c r="E47" s="295"/>
      <c r="F47" s="296"/>
    </row>
    <row r="48" spans="1:12" x14ac:dyDescent="0.25">
      <c r="A48" s="86" t="s">
        <v>20</v>
      </c>
      <c r="B48" s="27" t="s">
        <v>254</v>
      </c>
      <c r="C48" s="31" t="s">
        <v>2</v>
      </c>
      <c r="D48" s="32">
        <v>5</v>
      </c>
      <c r="E48" s="24">
        <v>550000</v>
      </c>
      <c r="F48" s="24">
        <f>+E48*D48</f>
        <v>2750000</v>
      </c>
    </row>
    <row r="49" spans="1:10" x14ac:dyDescent="0.25">
      <c r="A49" s="86" t="s">
        <v>21</v>
      </c>
      <c r="B49" s="27" t="s">
        <v>255</v>
      </c>
      <c r="C49" s="31" t="s">
        <v>2</v>
      </c>
      <c r="D49" s="32">
        <v>1</v>
      </c>
      <c r="E49" s="24">
        <f>220000*1.25</f>
        <v>275000</v>
      </c>
      <c r="F49" s="24">
        <f>+E49*D49</f>
        <v>275000</v>
      </c>
    </row>
    <row r="50" spans="1:10" x14ac:dyDescent="0.25">
      <c r="A50" s="86" t="s">
        <v>23</v>
      </c>
      <c r="B50" s="27" t="s">
        <v>256</v>
      </c>
      <c r="C50" s="31" t="s">
        <v>2</v>
      </c>
      <c r="D50" s="32">
        <v>3</v>
      </c>
      <c r="E50" s="24">
        <f>220000*1.25</f>
        <v>275000</v>
      </c>
      <c r="F50" s="24">
        <f>+E50*D50</f>
        <v>825000</v>
      </c>
    </row>
    <row r="51" spans="1:10" x14ac:dyDescent="0.25">
      <c r="A51" s="86" t="s">
        <v>46</v>
      </c>
      <c r="B51" s="27" t="s">
        <v>257</v>
      </c>
      <c r="C51" s="31" t="s">
        <v>2</v>
      </c>
      <c r="D51" s="32">
        <v>2</v>
      </c>
      <c r="E51" s="35">
        <v>620000</v>
      </c>
      <c r="F51" s="24">
        <f>D51*E51</f>
        <v>1240000</v>
      </c>
    </row>
    <row r="52" spans="1:10" x14ac:dyDescent="0.25">
      <c r="A52" s="86" t="s">
        <v>47</v>
      </c>
      <c r="B52" s="29" t="s">
        <v>258</v>
      </c>
      <c r="C52" s="31" t="s">
        <v>2</v>
      </c>
      <c r="D52" s="32">
        <v>2</v>
      </c>
      <c r="E52" s="35">
        <v>260000</v>
      </c>
      <c r="F52" s="24">
        <f>+E52*D52</f>
        <v>520000</v>
      </c>
    </row>
    <row r="53" spans="1:10" x14ac:dyDescent="0.25">
      <c r="A53" s="86" t="s">
        <v>343</v>
      </c>
      <c r="B53" s="29" t="s">
        <v>259</v>
      </c>
      <c r="C53" s="31" t="s">
        <v>2</v>
      </c>
      <c r="D53" s="32">
        <v>2</v>
      </c>
      <c r="E53" s="35">
        <v>280000</v>
      </c>
      <c r="F53" s="24">
        <f t="shared" ref="F53:F54" si="4">+E53*D53</f>
        <v>560000</v>
      </c>
    </row>
    <row r="54" spans="1:10" x14ac:dyDescent="0.25">
      <c r="A54" s="86" t="s">
        <v>48</v>
      </c>
      <c r="B54" s="29" t="s">
        <v>260</v>
      </c>
      <c r="C54" s="31" t="s">
        <v>2</v>
      </c>
      <c r="D54" s="32">
        <v>1</v>
      </c>
      <c r="E54" s="35">
        <v>320000</v>
      </c>
      <c r="F54" s="24">
        <f t="shared" si="4"/>
        <v>320000</v>
      </c>
    </row>
    <row r="55" spans="1:10" x14ac:dyDescent="0.25">
      <c r="A55" s="86" t="s">
        <v>403</v>
      </c>
      <c r="B55" s="30" t="s">
        <v>261</v>
      </c>
      <c r="C55" s="31" t="s">
        <v>2</v>
      </c>
      <c r="D55" s="32">
        <v>2</v>
      </c>
      <c r="E55" s="35">
        <f>328050</f>
        <v>328050</v>
      </c>
      <c r="F55" s="67">
        <f>D55*E55</f>
        <v>656100</v>
      </c>
    </row>
    <row r="56" spans="1:10" x14ac:dyDescent="0.25">
      <c r="A56" s="86" t="s">
        <v>404</v>
      </c>
      <c r="B56" s="29" t="s">
        <v>266</v>
      </c>
      <c r="C56" s="31" t="s">
        <v>14</v>
      </c>
      <c r="D56" s="32">
        <f>3*4+1.2*4+11</f>
        <v>27.8</v>
      </c>
      <c r="E56" s="35">
        <f>48000</f>
        <v>48000</v>
      </c>
      <c r="F56" s="67">
        <f>D56*E56</f>
        <v>1334400</v>
      </c>
    </row>
    <row r="57" spans="1:10" ht="9.75" customHeight="1" x14ac:dyDescent="0.25">
      <c r="A57" s="86" t="s">
        <v>41</v>
      </c>
      <c r="B57" s="154" t="s">
        <v>381</v>
      </c>
      <c r="C57" s="31"/>
      <c r="D57" s="32"/>
      <c r="E57" s="35"/>
      <c r="F57" s="67"/>
    </row>
    <row r="58" spans="1:10" x14ac:dyDescent="0.25">
      <c r="A58" s="86" t="s">
        <v>42</v>
      </c>
      <c r="B58" s="30" t="s">
        <v>384</v>
      </c>
      <c r="C58" s="31" t="s">
        <v>382</v>
      </c>
      <c r="D58" s="32">
        <v>1</v>
      </c>
      <c r="E58" s="35">
        <v>25000000</v>
      </c>
      <c r="F58" s="67">
        <f t="shared" ref="F58:F59" si="5">D58*E58</f>
        <v>25000000</v>
      </c>
    </row>
    <row r="59" spans="1:10" x14ac:dyDescent="0.25">
      <c r="A59" s="86" t="s">
        <v>380</v>
      </c>
      <c r="B59" s="30" t="s">
        <v>383</v>
      </c>
      <c r="C59" s="31" t="s">
        <v>210</v>
      </c>
      <c r="D59" s="32">
        <v>1</v>
      </c>
      <c r="E59" s="35">
        <v>20000000</v>
      </c>
      <c r="F59" s="67">
        <f t="shared" si="5"/>
        <v>20000000</v>
      </c>
    </row>
    <row r="60" spans="1:10" x14ac:dyDescent="0.25">
      <c r="A60" s="72"/>
      <c r="B60" s="77" t="s">
        <v>277</v>
      </c>
      <c r="C60" s="73"/>
      <c r="D60" s="74"/>
      <c r="E60" s="75"/>
      <c r="F60" s="76">
        <f>F55+F54+F53+F52+F51+F50+F49+F48+F46+F45+F44+F43+F42+F41+F40+F38+F37+F36+F35+F34+F33+F31+F30+F29+F28+F26+F25+F24+F23+F22+F21+F20+F19+F56+F59+F58</f>
        <v>135256046.85000002</v>
      </c>
    </row>
    <row r="61" spans="1:10" x14ac:dyDescent="0.25">
      <c r="A61" s="19" t="s">
        <v>24</v>
      </c>
      <c r="B61" s="297" t="s">
        <v>89</v>
      </c>
      <c r="C61" s="297"/>
      <c r="D61" s="297"/>
      <c r="E61" s="297"/>
      <c r="F61" s="297"/>
    </row>
    <row r="62" spans="1:10" x14ac:dyDescent="0.25">
      <c r="A62" s="21" t="s">
        <v>186</v>
      </c>
      <c r="B62" s="30" t="s">
        <v>187</v>
      </c>
      <c r="C62" s="31" t="s">
        <v>188</v>
      </c>
      <c r="D62" s="46">
        <v>1</v>
      </c>
      <c r="E62" s="47">
        <v>2370000</v>
      </c>
      <c r="F62" s="24">
        <f t="shared" ref="F62:F71" si="6">+E62*D62</f>
        <v>2370000</v>
      </c>
      <c r="J62" s="39"/>
    </row>
    <row r="63" spans="1:10" x14ac:dyDescent="0.25">
      <c r="A63" s="21" t="s">
        <v>189</v>
      </c>
      <c r="B63" s="30" t="s">
        <v>190</v>
      </c>
      <c r="C63" s="31" t="s">
        <v>188</v>
      </c>
      <c r="D63" s="46">
        <v>1</v>
      </c>
      <c r="E63" s="47">
        <v>2700000</v>
      </c>
      <c r="F63" s="24">
        <f t="shared" si="6"/>
        <v>2700000</v>
      </c>
    </row>
    <row r="64" spans="1:10" ht="22.5" x14ac:dyDescent="0.25">
      <c r="A64" s="21" t="s">
        <v>192</v>
      </c>
      <c r="B64" s="30" t="s">
        <v>193</v>
      </c>
      <c r="C64" s="31" t="s">
        <v>188</v>
      </c>
      <c r="D64" s="46">
        <v>1</v>
      </c>
      <c r="E64" s="47">
        <v>790000</v>
      </c>
      <c r="F64" s="24">
        <f t="shared" si="6"/>
        <v>790000</v>
      </c>
    </row>
    <row r="65" spans="1:11" x14ac:dyDescent="0.25">
      <c r="A65" s="21" t="s">
        <v>25</v>
      </c>
      <c r="B65" s="45" t="s">
        <v>91</v>
      </c>
      <c r="C65" s="31" t="s">
        <v>2</v>
      </c>
      <c r="D65" s="46">
        <v>2</v>
      </c>
      <c r="E65" s="47">
        <v>24202</v>
      </c>
      <c r="F65" s="24">
        <f t="shared" si="6"/>
        <v>48404</v>
      </c>
      <c r="H65" s="43"/>
    </row>
    <row r="66" spans="1:11" x14ac:dyDescent="0.25">
      <c r="A66" s="21" t="s">
        <v>26</v>
      </c>
      <c r="B66" s="45" t="s">
        <v>92</v>
      </c>
      <c r="C66" s="31" t="s">
        <v>2</v>
      </c>
      <c r="D66" s="46">
        <v>4</v>
      </c>
      <c r="E66" s="47">
        <v>2096</v>
      </c>
      <c r="F66" s="24">
        <f t="shared" si="6"/>
        <v>8384</v>
      </c>
    </row>
    <row r="67" spans="1:11" x14ac:dyDescent="0.25">
      <c r="A67" s="21" t="s">
        <v>27</v>
      </c>
      <c r="B67" s="45" t="s">
        <v>93</v>
      </c>
      <c r="C67" s="31" t="s">
        <v>2</v>
      </c>
      <c r="D67" s="46">
        <v>1</v>
      </c>
      <c r="E67" s="47">
        <v>40000</v>
      </c>
      <c r="F67" s="24">
        <f t="shared" si="6"/>
        <v>40000</v>
      </c>
    </row>
    <row r="68" spans="1:11" x14ac:dyDescent="0.25">
      <c r="A68" s="21" t="s">
        <v>66</v>
      </c>
      <c r="B68" s="45" t="s">
        <v>94</v>
      </c>
      <c r="C68" s="31" t="s">
        <v>2</v>
      </c>
      <c r="D68" s="46">
        <v>2</v>
      </c>
      <c r="E68" s="47">
        <v>18824</v>
      </c>
      <c r="F68" s="24">
        <f t="shared" si="6"/>
        <v>37648</v>
      </c>
      <c r="H68" s="43"/>
    </row>
    <row r="69" spans="1:11" x14ac:dyDescent="0.25">
      <c r="A69" s="21" t="s">
        <v>67</v>
      </c>
      <c r="B69" s="45" t="s">
        <v>95</v>
      </c>
      <c r="C69" s="31" t="s">
        <v>2</v>
      </c>
      <c r="D69" s="46">
        <v>15</v>
      </c>
      <c r="E69" s="47">
        <f>3275*1.25</f>
        <v>4093.75</v>
      </c>
      <c r="F69" s="24">
        <f t="shared" si="6"/>
        <v>61406.25</v>
      </c>
    </row>
    <row r="70" spans="1:11" x14ac:dyDescent="0.25">
      <c r="A70" s="21" t="s">
        <v>96</v>
      </c>
      <c r="B70" s="45" t="s">
        <v>97</v>
      </c>
      <c r="C70" s="31" t="s">
        <v>98</v>
      </c>
      <c r="D70" s="46">
        <v>120</v>
      </c>
      <c r="E70" s="47">
        <v>6051</v>
      </c>
      <c r="F70" s="24">
        <f t="shared" si="6"/>
        <v>726120</v>
      </c>
      <c r="H70" s="43"/>
    </row>
    <row r="71" spans="1:11" ht="15" customHeight="1" x14ac:dyDescent="0.25">
      <c r="A71" s="21" t="s">
        <v>99</v>
      </c>
      <c r="B71" s="45" t="s">
        <v>100</v>
      </c>
      <c r="C71" s="31" t="s">
        <v>98</v>
      </c>
      <c r="D71" s="46">
        <v>4</v>
      </c>
      <c r="E71" s="47">
        <v>4000</v>
      </c>
      <c r="F71" s="24">
        <f t="shared" si="6"/>
        <v>16000</v>
      </c>
      <c r="H71" s="43"/>
    </row>
    <row r="72" spans="1:11" x14ac:dyDescent="0.25">
      <c r="A72" s="21" t="s">
        <v>360</v>
      </c>
      <c r="B72" s="45" t="s">
        <v>365</v>
      </c>
      <c r="C72" s="31" t="s">
        <v>22</v>
      </c>
      <c r="D72" s="46">
        <v>1</v>
      </c>
      <c r="E72" s="47">
        <v>1500000</v>
      </c>
      <c r="F72" s="24">
        <f>+E72*D72</f>
        <v>1500000</v>
      </c>
    </row>
    <row r="73" spans="1:11" ht="22.5" x14ac:dyDescent="0.25">
      <c r="A73" s="21" t="s">
        <v>361</v>
      </c>
      <c r="B73" s="45" t="s">
        <v>284</v>
      </c>
      <c r="C73" s="31" t="s">
        <v>98</v>
      </c>
      <c r="D73" s="46">
        <f>32*10</f>
        <v>320</v>
      </c>
      <c r="E73" s="47">
        <f>2800</f>
        <v>2800</v>
      </c>
      <c r="F73" s="24">
        <f t="shared" ref="F73:F82" si="7">+E73*D73</f>
        <v>896000</v>
      </c>
      <c r="H73" s="43"/>
      <c r="I73" s="43"/>
      <c r="J73" s="43"/>
      <c r="K73" s="43"/>
    </row>
    <row r="74" spans="1:11" x14ac:dyDescent="0.25">
      <c r="A74" s="21" t="s">
        <v>101</v>
      </c>
      <c r="B74" s="45" t="s">
        <v>106</v>
      </c>
      <c r="C74" s="31" t="s">
        <v>107</v>
      </c>
      <c r="D74" s="46">
        <v>6</v>
      </c>
      <c r="E74" s="47">
        <v>86640</v>
      </c>
      <c r="F74" s="24">
        <f t="shared" si="7"/>
        <v>519840</v>
      </c>
    </row>
    <row r="75" spans="1:11" x14ac:dyDescent="0.25">
      <c r="A75" s="21" t="s">
        <v>102</v>
      </c>
      <c r="B75" s="45" t="s">
        <v>108</v>
      </c>
      <c r="C75" s="31" t="s">
        <v>107</v>
      </c>
      <c r="D75" s="46">
        <v>10</v>
      </c>
      <c r="E75" s="47">
        <v>91200</v>
      </c>
      <c r="F75" s="24">
        <f t="shared" si="7"/>
        <v>912000</v>
      </c>
      <c r="H75" s="43"/>
    </row>
    <row r="76" spans="1:11" x14ac:dyDescent="0.25">
      <c r="A76" s="21" t="s">
        <v>366</v>
      </c>
      <c r="B76" s="45" t="s">
        <v>109</v>
      </c>
      <c r="C76" s="31" t="s">
        <v>110</v>
      </c>
      <c r="D76" s="46">
        <v>10</v>
      </c>
      <c r="E76" s="47">
        <f>14490*1.25</f>
        <v>18112.5</v>
      </c>
      <c r="F76" s="24">
        <f t="shared" si="7"/>
        <v>181125</v>
      </c>
    </row>
    <row r="77" spans="1:11" x14ac:dyDescent="0.25">
      <c r="A77" s="21" t="s">
        <v>367</v>
      </c>
      <c r="B77" s="45" t="s">
        <v>111</v>
      </c>
      <c r="C77" s="31" t="s">
        <v>110</v>
      </c>
      <c r="D77" s="46">
        <v>6</v>
      </c>
      <c r="E77" s="47">
        <f>22500</f>
        <v>22500</v>
      </c>
      <c r="F77" s="24">
        <f t="shared" si="7"/>
        <v>135000</v>
      </c>
    </row>
    <row r="78" spans="1:11" x14ac:dyDescent="0.25">
      <c r="A78" s="21" t="s">
        <v>368</v>
      </c>
      <c r="B78" s="45" t="s">
        <v>113</v>
      </c>
      <c r="C78" s="31" t="s">
        <v>110</v>
      </c>
      <c r="D78" s="46">
        <v>26</v>
      </c>
      <c r="E78" s="47">
        <f>8800*1.25</f>
        <v>11000</v>
      </c>
      <c r="F78" s="24">
        <f t="shared" si="7"/>
        <v>286000</v>
      </c>
    </row>
    <row r="79" spans="1:11" ht="22.5" x14ac:dyDescent="0.25">
      <c r="A79" s="21" t="s">
        <v>369</v>
      </c>
      <c r="B79" s="45" t="s">
        <v>114</v>
      </c>
      <c r="C79" s="31" t="s">
        <v>110</v>
      </c>
      <c r="D79" s="46">
        <v>6</v>
      </c>
      <c r="E79" s="47">
        <f>25000</f>
        <v>25000</v>
      </c>
      <c r="F79" s="24">
        <f t="shared" si="7"/>
        <v>150000</v>
      </c>
    </row>
    <row r="80" spans="1:11" x14ac:dyDescent="0.25">
      <c r="A80" s="21" t="s">
        <v>370</v>
      </c>
      <c r="B80" s="45" t="s">
        <v>115</v>
      </c>
      <c r="C80" s="31" t="s">
        <v>110</v>
      </c>
      <c r="D80" s="46">
        <v>1</v>
      </c>
      <c r="E80" s="47">
        <f>54054*1.25</f>
        <v>67567.5</v>
      </c>
      <c r="F80" s="24">
        <f t="shared" si="7"/>
        <v>67567.5</v>
      </c>
    </row>
    <row r="81" spans="1:12" ht="22.5" x14ac:dyDescent="0.25">
      <c r="A81" s="21" t="s">
        <v>371</v>
      </c>
      <c r="B81" s="45" t="s">
        <v>116</v>
      </c>
      <c r="C81" s="31" t="s">
        <v>110</v>
      </c>
      <c r="D81" s="46">
        <v>16</v>
      </c>
      <c r="E81" s="47">
        <f>32685*1.25</f>
        <v>40856.25</v>
      </c>
      <c r="F81" s="24">
        <f t="shared" si="7"/>
        <v>653700</v>
      </c>
    </row>
    <row r="82" spans="1:12" x14ac:dyDescent="0.25">
      <c r="A82" s="21" t="s">
        <v>372</v>
      </c>
      <c r="B82" s="45" t="s">
        <v>118</v>
      </c>
      <c r="C82" s="31" t="s">
        <v>2</v>
      </c>
      <c r="D82" s="46">
        <v>6</v>
      </c>
      <c r="E82" s="47">
        <f>4958*1.25</f>
        <v>6197.5</v>
      </c>
      <c r="F82" s="24">
        <f t="shared" si="7"/>
        <v>37185</v>
      </c>
    </row>
    <row r="83" spans="1:12" x14ac:dyDescent="0.25">
      <c r="A83" s="21" t="s">
        <v>373</v>
      </c>
      <c r="B83" s="45" t="s">
        <v>119</v>
      </c>
      <c r="C83" s="31" t="s">
        <v>2</v>
      </c>
      <c r="D83" s="46">
        <v>6</v>
      </c>
      <c r="E83" s="47">
        <f>55547*1.25</f>
        <v>69433.75</v>
      </c>
      <c r="F83" s="49">
        <f>D83*E83</f>
        <v>416602.5</v>
      </c>
    </row>
    <row r="84" spans="1:12" x14ac:dyDescent="0.25">
      <c r="A84" s="21" t="s">
        <v>104</v>
      </c>
      <c r="B84" s="200" t="s">
        <v>120</v>
      </c>
      <c r="C84" s="201"/>
      <c r="D84" s="201"/>
      <c r="E84" s="201"/>
      <c r="F84" s="202"/>
    </row>
    <row r="85" spans="1:12" x14ac:dyDescent="0.25">
      <c r="A85" s="21" t="s">
        <v>105</v>
      </c>
      <c r="B85" s="45" t="s">
        <v>121</v>
      </c>
      <c r="C85" s="31" t="s">
        <v>2</v>
      </c>
      <c r="D85" s="46">
        <v>5</v>
      </c>
      <c r="E85" s="47">
        <f>339856*1.25</f>
        <v>424820</v>
      </c>
      <c r="F85" s="24">
        <f t="shared" ref="F85" si="8">+E85*D85</f>
        <v>2124100</v>
      </c>
    </row>
    <row r="86" spans="1:12" x14ac:dyDescent="0.25">
      <c r="A86" s="72"/>
      <c r="B86" s="77" t="s">
        <v>279</v>
      </c>
      <c r="C86" s="73"/>
      <c r="D86" s="74"/>
      <c r="E86" s="75"/>
      <c r="F86" s="76">
        <f>F85+F83+F82+F81+F80+F79+F78+F77+F76+F75+F74+F73+F72+F71+F70+F69+F68+F67+F66+F65+F64+F63+F62</f>
        <v>14677082.25</v>
      </c>
      <c r="H86" s="39"/>
    </row>
    <row r="87" spans="1:12" x14ac:dyDescent="0.25">
      <c r="A87" s="19" t="s">
        <v>28</v>
      </c>
      <c r="B87" s="297" t="s">
        <v>122</v>
      </c>
      <c r="C87" s="297"/>
      <c r="D87" s="297"/>
      <c r="E87" s="297"/>
      <c r="F87" s="297"/>
    </row>
    <row r="88" spans="1:12" x14ac:dyDescent="0.25">
      <c r="A88" s="26" t="s">
        <v>28</v>
      </c>
      <c r="B88" s="294" t="s">
        <v>123</v>
      </c>
      <c r="C88" s="295"/>
      <c r="D88" s="295"/>
      <c r="E88" s="295"/>
      <c r="F88" s="296"/>
    </row>
    <row r="89" spans="1:12" x14ac:dyDescent="0.25">
      <c r="A89" s="21" t="s">
        <v>194</v>
      </c>
      <c r="B89" s="30" t="s">
        <v>195</v>
      </c>
      <c r="C89" s="31" t="s">
        <v>188</v>
      </c>
      <c r="D89" s="46">
        <v>1</v>
      </c>
      <c r="E89" s="47">
        <v>1685000</v>
      </c>
      <c r="F89" s="24">
        <f t="shared" ref="F89:F95" si="9">+E89*D89</f>
        <v>1685000</v>
      </c>
      <c r="J89" s="39"/>
    </row>
    <row r="90" spans="1:12" x14ac:dyDescent="0.25">
      <c r="A90" s="21" t="s">
        <v>196</v>
      </c>
      <c r="B90" s="30" t="s">
        <v>190</v>
      </c>
      <c r="C90" s="31" t="s">
        <v>188</v>
      </c>
      <c r="D90" s="46">
        <v>1</v>
      </c>
      <c r="E90" s="47">
        <v>2165000</v>
      </c>
      <c r="F90" s="24">
        <f t="shared" si="9"/>
        <v>2165000</v>
      </c>
    </row>
    <row r="91" spans="1:12" x14ac:dyDescent="0.25">
      <c r="A91" s="21" t="s">
        <v>197</v>
      </c>
      <c r="B91" s="30" t="s">
        <v>198</v>
      </c>
      <c r="C91" s="31" t="s">
        <v>188</v>
      </c>
      <c r="D91" s="46">
        <v>1</v>
      </c>
      <c r="E91" s="47">
        <v>965000</v>
      </c>
      <c r="F91" s="24">
        <f t="shared" si="9"/>
        <v>965000</v>
      </c>
    </row>
    <row r="92" spans="1:12" x14ac:dyDescent="0.25">
      <c r="A92" s="21" t="s">
        <v>29</v>
      </c>
      <c r="B92" s="81" t="s">
        <v>124</v>
      </c>
      <c r="C92" s="82" t="s">
        <v>14</v>
      </c>
      <c r="D92" s="48">
        <v>3</v>
      </c>
      <c r="E92" s="54">
        <v>1925</v>
      </c>
      <c r="F92" s="24">
        <f t="shared" si="9"/>
        <v>5775</v>
      </c>
    </row>
    <row r="93" spans="1:12" x14ac:dyDescent="0.25">
      <c r="A93" s="21" t="s">
        <v>30</v>
      </c>
      <c r="B93" s="81" t="s">
        <v>125</v>
      </c>
      <c r="C93" s="82" t="s">
        <v>14</v>
      </c>
      <c r="D93" s="48">
        <v>3</v>
      </c>
      <c r="E93" s="54">
        <v>1675</v>
      </c>
      <c r="F93" s="24">
        <f t="shared" si="9"/>
        <v>5025</v>
      </c>
    </row>
    <row r="94" spans="1:12" x14ac:dyDescent="0.25">
      <c r="A94" s="21" t="s">
        <v>31</v>
      </c>
      <c r="B94" s="81" t="s">
        <v>126</v>
      </c>
      <c r="C94" s="82" t="s">
        <v>14</v>
      </c>
      <c r="D94" s="48">
        <v>3</v>
      </c>
      <c r="E94" s="54">
        <v>750</v>
      </c>
      <c r="F94" s="24">
        <f t="shared" si="9"/>
        <v>2250</v>
      </c>
    </row>
    <row r="95" spans="1:12" x14ac:dyDescent="0.25">
      <c r="A95" s="21" t="s">
        <v>32</v>
      </c>
      <c r="B95" s="81" t="s">
        <v>127</v>
      </c>
      <c r="C95" s="82" t="s">
        <v>2</v>
      </c>
      <c r="D95" s="48">
        <v>1</v>
      </c>
      <c r="E95" s="54">
        <f>42900*1.25</f>
        <v>53625</v>
      </c>
      <c r="F95" s="24">
        <f t="shared" si="9"/>
        <v>53625</v>
      </c>
      <c r="K95" s="293"/>
      <c r="L95" s="293"/>
    </row>
    <row r="96" spans="1:12" x14ac:dyDescent="0.25">
      <c r="A96" s="21" t="s">
        <v>307</v>
      </c>
      <c r="B96" s="200" t="s">
        <v>128</v>
      </c>
      <c r="C96" s="201"/>
      <c r="D96" s="201"/>
      <c r="E96" s="201"/>
      <c r="F96" s="202"/>
    </row>
    <row r="97" spans="1:6" x14ac:dyDescent="0.25">
      <c r="A97" s="21" t="s">
        <v>388</v>
      </c>
      <c r="B97" s="81" t="s">
        <v>129</v>
      </c>
      <c r="C97" s="82" t="s">
        <v>14</v>
      </c>
      <c r="D97" s="48">
        <f>4*14</f>
        <v>56</v>
      </c>
      <c r="E97" s="54">
        <v>4550</v>
      </c>
      <c r="F97" s="24">
        <f t="shared" ref="F97" si="10">+E97*D97</f>
        <v>254800</v>
      </c>
    </row>
    <row r="98" spans="1:6" x14ac:dyDescent="0.25">
      <c r="A98" s="21" t="s">
        <v>308</v>
      </c>
      <c r="B98" s="200" t="s">
        <v>130</v>
      </c>
      <c r="C98" s="201"/>
      <c r="D98" s="201"/>
      <c r="E98" s="201"/>
      <c r="F98" s="202" t="s">
        <v>131</v>
      </c>
    </row>
    <row r="99" spans="1:6" x14ac:dyDescent="0.25">
      <c r="A99" s="21" t="s">
        <v>309</v>
      </c>
      <c r="B99" s="53" t="s">
        <v>132</v>
      </c>
      <c r="C99" s="33" t="s">
        <v>14</v>
      </c>
      <c r="D99" s="33">
        <v>8</v>
      </c>
      <c r="E99" s="52">
        <f>1900*1.25</f>
        <v>2375</v>
      </c>
      <c r="F99" s="24">
        <f t="shared" ref="F99:F104" si="11">+E99*D99</f>
        <v>19000</v>
      </c>
    </row>
    <row r="100" spans="1:6" x14ac:dyDescent="0.25">
      <c r="A100" s="21" t="s">
        <v>389</v>
      </c>
      <c r="B100" s="53" t="s">
        <v>133</v>
      </c>
      <c r="C100" s="33" t="s">
        <v>2</v>
      </c>
      <c r="D100" s="33">
        <v>1</v>
      </c>
      <c r="E100" s="52">
        <f>165000*1.25</f>
        <v>206250</v>
      </c>
      <c r="F100" s="24">
        <f t="shared" si="11"/>
        <v>206250</v>
      </c>
    </row>
    <row r="101" spans="1:6" x14ac:dyDescent="0.25">
      <c r="A101" s="21" t="s">
        <v>33</v>
      </c>
      <c r="B101" s="53" t="s">
        <v>134</v>
      </c>
      <c r="C101" s="33" t="s">
        <v>2</v>
      </c>
      <c r="D101" s="33">
        <v>1</v>
      </c>
      <c r="E101" s="52">
        <f>40200*1.25</f>
        <v>50250</v>
      </c>
      <c r="F101" s="24">
        <f t="shared" si="11"/>
        <v>50250</v>
      </c>
    </row>
    <row r="102" spans="1:6" x14ac:dyDescent="0.25">
      <c r="A102" s="21" t="s">
        <v>34</v>
      </c>
      <c r="B102" s="53" t="s">
        <v>135</v>
      </c>
      <c r="C102" s="33" t="s">
        <v>2</v>
      </c>
      <c r="D102" s="33">
        <v>1</v>
      </c>
      <c r="E102" s="52">
        <f>13100*1.57*1.25</f>
        <v>25708.75</v>
      </c>
      <c r="F102" s="24">
        <f t="shared" si="11"/>
        <v>25708.75</v>
      </c>
    </row>
    <row r="103" spans="1:6" x14ac:dyDescent="0.25">
      <c r="A103" s="21" t="s">
        <v>390</v>
      </c>
      <c r="B103" s="53" t="s">
        <v>136</v>
      </c>
      <c r="C103" s="33" t="s">
        <v>2</v>
      </c>
      <c r="D103" s="33">
        <v>1</v>
      </c>
      <c r="E103" s="52">
        <f>21222*1.57*1.25</f>
        <v>41648.175000000003</v>
      </c>
      <c r="F103" s="24">
        <f t="shared" si="11"/>
        <v>41648.175000000003</v>
      </c>
    </row>
    <row r="104" spans="1:6" x14ac:dyDescent="0.25">
      <c r="A104" s="21" t="s">
        <v>391</v>
      </c>
      <c r="B104" s="50" t="s">
        <v>137</v>
      </c>
      <c r="C104" s="33" t="s">
        <v>2</v>
      </c>
      <c r="D104" s="33">
        <v>1</v>
      </c>
      <c r="E104" s="52">
        <f>21420*1.25</f>
        <v>26775</v>
      </c>
      <c r="F104" s="24">
        <f t="shared" si="11"/>
        <v>26775</v>
      </c>
    </row>
    <row r="105" spans="1:6" x14ac:dyDescent="0.25">
      <c r="A105" s="21" t="s">
        <v>392</v>
      </c>
      <c r="B105" s="200" t="s">
        <v>138</v>
      </c>
      <c r="C105" s="201"/>
      <c r="D105" s="201"/>
      <c r="E105" s="201"/>
      <c r="F105" s="202"/>
    </row>
    <row r="106" spans="1:6" x14ac:dyDescent="0.25">
      <c r="A106" s="21" t="s">
        <v>393</v>
      </c>
      <c r="B106" s="50" t="s">
        <v>139</v>
      </c>
      <c r="C106" s="51" t="s">
        <v>4</v>
      </c>
      <c r="D106" s="33">
        <v>1</v>
      </c>
      <c r="E106" s="52">
        <f>260260*1.25</f>
        <v>325325</v>
      </c>
      <c r="F106" s="24">
        <f t="shared" ref="F106:F107" si="12">+E106*D106</f>
        <v>325325</v>
      </c>
    </row>
    <row r="107" spans="1:6" x14ac:dyDescent="0.25">
      <c r="A107" s="21" t="s">
        <v>394</v>
      </c>
      <c r="B107" s="50" t="s">
        <v>140</v>
      </c>
      <c r="C107" s="51" t="s">
        <v>4</v>
      </c>
      <c r="D107" s="33">
        <v>1</v>
      </c>
      <c r="E107" s="52">
        <f>207351*1.25</f>
        <v>259188.75</v>
      </c>
      <c r="F107" s="24">
        <f t="shared" si="12"/>
        <v>259188.75</v>
      </c>
    </row>
    <row r="108" spans="1:6" x14ac:dyDescent="0.25">
      <c r="A108" s="21" t="s">
        <v>395</v>
      </c>
      <c r="B108" s="200" t="s">
        <v>141</v>
      </c>
      <c r="C108" s="201"/>
      <c r="D108" s="201"/>
      <c r="E108" s="201"/>
      <c r="F108" s="202"/>
    </row>
    <row r="109" spans="1:6" x14ac:dyDescent="0.25">
      <c r="A109" s="21" t="s">
        <v>396</v>
      </c>
      <c r="B109" s="50" t="s">
        <v>142</v>
      </c>
      <c r="C109" s="33" t="s">
        <v>2</v>
      </c>
      <c r="D109" s="33">
        <v>1</v>
      </c>
      <c r="E109" s="52">
        <f>27846*1.25</f>
        <v>34807.5</v>
      </c>
      <c r="F109" s="24">
        <f t="shared" ref="F109:F112" si="13">+E109*D109</f>
        <v>34807.5</v>
      </c>
    </row>
    <row r="110" spans="1:6" x14ac:dyDescent="0.25">
      <c r="A110" s="21" t="s">
        <v>397</v>
      </c>
      <c r="B110" s="50" t="s">
        <v>143</v>
      </c>
      <c r="C110" s="33" t="s">
        <v>2</v>
      </c>
      <c r="D110" s="33">
        <v>1</v>
      </c>
      <c r="E110" s="52">
        <f>6500*1.25</f>
        <v>8125</v>
      </c>
      <c r="F110" s="24">
        <f t="shared" si="13"/>
        <v>8125</v>
      </c>
    </row>
    <row r="111" spans="1:6" x14ac:dyDescent="0.25">
      <c r="A111" s="21" t="s">
        <v>45</v>
      </c>
      <c r="B111" s="50" t="s">
        <v>144</v>
      </c>
      <c r="C111" s="33" t="s">
        <v>2</v>
      </c>
      <c r="D111" s="33">
        <v>1</v>
      </c>
      <c r="E111" s="52">
        <f>23751*1.25</f>
        <v>29688.75</v>
      </c>
      <c r="F111" s="24">
        <f t="shared" si="13"/>
        <v>29688.75</v>
      </c>
    </row>
    <row r="112" spans="1:6" x14ac:dyDescent="0.25">
      <c r="A112" s="21" t="s">
        <v>398</v>
      </c>
      <c r="B112" s="50" t="s">
        <v>145</v>
      </c>
      <c r="C112" s="33" t="s">
        <v>2</v>
      </c>
      <c r="D112" s="33">
        <v>1</v>
      </c>
      <c r="E112" s="52">
        <f>45864*1.25</f>
        <v>57330</v>
      </c>
      <c r="F112" s="24">
        <f t="shared" si="13"/>
        <v>57330</v>
      </c>
    </row>
    <row r="113" spans="1:8" x14ac:dyDescent="0.25">
      <c r="A113" s="72"/>
      <c r="B113" s="77" t="s">
        <v>146</v>
      </c>
      <c r="C113" s="73"/>
      <c r="D113" s="74"/>
      <c r="E113" s="75"/>
      <c r="F113" s="76">
        <f>F112+F111+F110+F109+F107+F106+F104+F103+F102+F101+F100+F99+F97+F95+F94+F93+F92+F91+F90+F89</f>
        <v>6220571.9249999998</v>
      </c>
    </row>
    <row r="114" spans="1:8" x14ac:dyDescent="0.25">
      <c r="A114" s="19" t="s">
        <v>147</v>
      </c>
      <c r="B114" s="297" t="s">
        <v>155</v>
      </c>
      <c r="C114" s="297" t="s">
        <v>22</v>
      </c>
      <c r="D114" s="297"/>
      <c r="E114" s="297"/>
      <c r="F114" s="297"/>
    </row>
    <row r="115" spans="1:8" x14ac:dyDescent="0.25">
      <c r="A115" s="118" t="s">
        <v>148</v>
      </c>
      <c r="B115" s="34" t="s">
        <v>158</v>
      </c>
      <c r="C115" s="28" t="s">
        <v>159</v>
      </c>
      <c r="D115" s="23">
        <f>150</f>
        <v>150</v>
      </c>
      <c r="E115" s="35">
        <f>21200*1.25</f>
        <v>26500</v>
      </c>
      <c r="F115" s="24">
        <f t="shared" ref="F115:F117" si="14">+E115*D115</f>
        <v>3975000</v>
      </c>
      <c r="G115" s="56"/>
      <c r="H115" s="56"/>
    </row>
    <row r="116" spans="1:8" x14ac:dyDescent="0.25">
      <c r="A116" s="118" t="s">
        <v>149</v>
      </c>
      <c r="B116" s="22" t="s">
        <v>263</v>
      </c>
      <c r="C116" s="33" t="s">
        <v>2</v>
      </c>
      <c r="D116" s="23">
        <v>1</v>
      </c>
      <c r="E116" s="24">
        <f>2500000</f>
        <v>2500000</v>
      </c>
      <c r="F116" s="24">
        <f t="shared" si="14"/>
        <v>2500000</v>
      </c>
      <c r="G116" s="56"/>
      <c r="H116" s="56"/>
    </row>
    <row r="117" spans="1:8" x14ac:dyDescent="0.25">
      <c r="A117" s="118" t="s">
        <v>150</v>
      </c>
      <c r="B117" s="22" t="s">
        <v>169</v>
      </c>
      <c r="C117" s="33" t="s">
        <v>2</v>
      </c>
      <c r="D117" s="32">
        <v>14</v>
      </c>
      <c r="E117" s="24">
        <f>95000*1.25</f>
        <v>118750</v>
      </c>
      <c r="F117" s="24">
        <f t="shared" si="14"/>
        <v>1662500</v>
      </c>
      <c r="G117" s="56"/>
      <c r="H117" s="56"/>
    </row>
    <row r="118" spans="1:8" x14ac:dyDescent="0.25">
      <c r="A118" s="118" t="s">
        <v>151</v>
      </c>
      <c r="B118" s="22" t="s">
        <v>63</v>
      </c>
      <c r="C118" s="33" t="s">
        <v>2</v>
      </c>
      <c r="D118" s="32" t="s">
        <v>249</v>
      </c>
      <c r="E118" s="24">
        <f>258300*1.25</f>
        <v>322875</v>
      </c>
      <c r="F118" s="24">
        <v>0</v>
      </c>
      <c r="G118" s="56"/>
      <c r="H118" s="56"/>
    </row>
    <row r="119" spans="1:8" ht="15.75" thickBot="1" x14ac:dyDescent="0.3">
      <c r="A119" s="72"/>
      <c r="B119" s="77" t="s">
        <v>171</v>
      </c>
      <c r="C119" s="73"/>
      <c r="D119" s="74"/>
      <c r="E119" s="75"/>
      <c r="F119" s="76">
        <f>F118+F117+F116+F115</f>
        <v>8137500</v>
      </c>
      <c r="H119" s="114"/>
    </row>
    <row r="120" spans="1:8" x14ac:dyDescent="0.25">
      <c r="A120" s="1"/>
      <c r="B120" s="65" t="s">
        <v>280</v>
      </c>
      <c r="C120" s="7"/>
      <c r="D120" s="7"/>
      <c r="E120" s="7"/>
      <c r="F120" s="115">
        <f>F113+F86+F60+F16+F119</f>
        <v>164291201.02500004</v>
      </c>
      <c r="G120">
        <f>F120/D44</f>
        <v>657611.98024656775</v>
      </c>
    </row>
    <row r="121" spans="1:8" x14ac:dyDescent="0.25">
      <c r="A121" s="1"/>
      <c r="B121" s="79" t="s">
        <v>281</v>
      </c>
      <c r="C121" s="78"/>
      <c r="D121" s="78"/>
      <c r="E121" s="78"/>
      <c r="F121" s="116">
        <f>F120*0.01</f>
        <v>1642912.0102500003</v>
      </c>
    </row>
    <row r="122" spans="1:8" x14ac:dyDescent="0.25">
      <c r="A122" s="1"/>
      <c r="B122" s="66" t="s">
        <v>36</v>
      </c>
      <c r="C122" s="8"/>
      <c r="D122" s="8"/>
      <c r="E122" s="8"/>
      <c r="F122" s="117">
        <f>F120*0.18</f>
        <v>29572416.184500005</v>
      </c>
    </row>
    <row r="123" spans="1:8" ht="15.75" thickBot="1" x14ac:dyDescent="0.3">
      <c r="B123" s="9" t="s">
        <v>282</v>
      </c>
      <c r="C123" s="10"/>
      <c r="D123" s="11"/>
      <c r="E123" s="11"/>
      <c r="F123" s="12">
        <f>F120+F121+F122</f>
        <v>195506529.21975005</v>
      </c>
    </row>
    <row r="125" spans="1:8" ht="34.5" customHeight="1" x14ac:dyDescent="0.25">
      <c r="A125" s="277" t="s">
        <v>408</v>
      </c>
      <c r="B125" s="277"/>
      <c r="C125" s="277"/>
      <c r="D125" s="277"/>
      <c r="E125" s="277"/>
      <c r="F125" s="277"/>
    </row>
    <row r="127" spans="1:8" ht="15.75" x14ac:dyDescent="0.25">
      <c r="A127" s="278" t="s">
        <v>386</v>
      </c>
      <c r="B127" s="278"/>
    </row>
    <row r="128" spans="1:8" ht="15.75" x14ac:dyDescent="0.25">
      <c r="A128" s="71"/>
      <c r="B128" s="71"/>
    </row>
    <row r="130" spans="1:2" ht="15.75" customHeight="1" x14ac:dyDescent="0.25">
      <c r="A130" s="277" t="s">
        <v>292</v>
      </c>
      <c r="B130" s="277"/>
    </row>
    <row r="131" spans="1:2" x14ac:dyDescent="0.25">
      <c r="A131" s="304"/>
      <c r="B131" s="304"/>
    </row>
    <row r="132" spans="1:2" ht="15.75" x14ac:dyDescent="0.25">
      <c r="A132" s="279" t="s">
        <v>293</v>
      </c>
      <c r="B132" s="279"/>
    </row>
    <row r="133" spans="1:2" x14ac:dyDescent="0.25">
      <c r="B133" s="2"/>
    </row>
  </sheetData>
  <mergeCells count="20">
    <mergeCell ref="K95:L95"/>
    <mergeCell ref="B114:F114"/>
    <mergeCell ref="B88:F88"/>
    <mergeCell ref="A3:F3"/>
    <mergeCell ref="A5:F5"/>
    <mergeCell ref="A7:B7"/>
    <mergeCell ref="B13:D13"/>
    <mergeCell ref="B17:F17"/>
    <mergeCell ref="B18:F18"/>
    <mergeCell ref="B27:F27"/>
    <mergeCell ref="B32:F32"/>
    <mergeCell ref="B39:F39"/>
    <mergeCell ref="B47:F47"/>
    <mergeCell ref="B61:F61"/>
    <mergeCell ref="B87:F87"/>
    <mergeCell ref="A125:F125"/>
    <mergeCell ref="A127:B127"/>
    <mergeCell ref="A131:B131"/>
    <mergeCell ref="A132:B132"/>
    <mergeCell ref="A130:B130"/>
  </mergeCells>
  <phoneticPr fontId="20" type="noConversion"/>
  <pageMargins left="0.70866141732283472" right="0.70866141732283472" top="1.1728125" bottom="0.74803149606299213" header="0.31496062992125984" footer="0.31496062992125984"/>
  <pageSetup paperSize="9" scale="81" orientation="portrait" r:id="rId1"/>
  <headerFooter>
    <oddHeader>&amp;L&amp;G</oddHeader>
    <oddFooter>&amp;C&amp;G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DEC5A-B213-4324-B656-33DD82942205}">
  <sheetPr codeName="Feuil7"/>
  <dimension ref="A3:L128"/>
  <sheetViews>
    <sheetView view="pageBreakPreview" zoomScaleNormal="100" zoomScaleSheetLayoutView="100" workbookViewId="0">
      <selection activeCell="H47" sqref="H47"/>
    </sheetView>
  </sheetViews>
  <sheetFormatPr baseColWidth="10" defaultColWidth="11.5703125" defaultRowHeight="15" x14ac:dyDescent="0.25"/>
  <cols>
    <col min="1" max="1" width="5.85546875" style="2" customWidth="1"/>
    <col min="2" max="2" width="61.28515625" style="1" customWidth="1"/>
    <col min="3" max="3" width="4.42578125" style="3" customWidth="1"/>
    <col min="4" max="4" width="9.140625" style="42" customWidth="1"/>
    <col min="5" max="5" width="11.5703125" style="2"/>
    <col min="6" max="6" width="14.5703125" style="2" customWidth="1"/>
    <col min="7" max="7" width="12.85546875" bestFit="1" customWidth="1"/>
    <col min="8" max="8" width="42.7109375" bestFit="1" customWidth="1"/>
  </cols>
  <sheetData>
    <row r="3" spans="1:6" ht="39.75" customHeight="1" x14ac:dyDescent="0.3">
      <c r="A3" s="283" t="s">
        <v>385</v>
      </c>
      <c r="B3" s="283"/>
      <c r="C3" s="283"/>
      <c r="D3" s="283"/>
      <c r="E3" s="283"/>
      <c r="F3" s="283"/>
    </row>
    <row r="5" spans="1:6" ht="18" x14ac:dyDescent="0.25">
      <c r="A5" s="284" t="s">
        <v>275</v>
      </c>
      <c r="B5" s="285"/>
      <c r="C5" s="285"/>
      <c r="D5" s="285"/>
      <c r="E5" s="285"/>
      <c r="F5" s="285"/>
    </row>
    <row r="7" spans="1:6" ht="15.75" x14ac:dyDescent="0.25">
      <c r="A7" s="286" t="s">
        <v>400</v>
      </c>
      <c r="B7" s="278"/>
    </row>
    <row r="11" spans="1:6" ht="12.6" customHeight="1" x14ac:dyDescent="0.25"/>
    <row r="12" spans="1:6" x14ac:dyDescent="0.25">
      <c r="A12" s="15" t="s">
        <v>0</v>
      </c>
      <c r="B12" s="16" t="s">
        <v>1</v>
      </c>
      <c r="C12" s="17" t="s">
        <v>272</v>
      </c>
      <c r="D12" s="18" t="s">
        <v>273</v>
      </c>
      <c r="E12" s="17" t="s">
        <v>285</v>
      </c>
      <c r="F12" s="17" t="s">
        <v>271</v>
      </c>
    </row>
    <row r="13" spans="1:6" x14ac:dyDescent="0.25">
      <c r="A13" s="19" t="s">
        <v>39</v>
      </c>
      <c r="B13" s="297" t="s">
        <v>49</v>
      </c>
      <c r="C13" s="297"/>
      <c r="D13" s="297"/>
      <c r="E13" s="20"/>
      <c r="F13" s="20"/>
    </row>
    <row r="14" spans="1:6" x14ac:dyDescent="0.25">
      <c r="A14" s="21" t="s">
        <v>37</v>
      </c>
      <c r="B14" s="22" t="s">
        <v>3</v>
      </c>
      <c r="C14" s="21" t="s">
        <v>4</v>
      </c>
      <c r="D14" s="23">
        <v>1</v>
      </c>
      <c r="E14" s="24">
        <v>0</v>
      </c>
      <c r="F14" s="24">
        <f>+E14*D14</f>
        <v>0</v>
      </c>
    </row>
    <row r="15" spans="1:6" x14ac:dyDescent="0.25">
      <c r="A15" s="86" t="s">
        <v>38</v>
      </c>
      <c r="B15" s="34" t="s">
        <v>72</v>
      </c>
      <c r="C15" s="86" t="s">
        <v>4</v>
      </c>
      <c r="D15" s="68">
        <v>1</v>
      </c>
      <c r="E15" s="35">
        <v>0</v>
      </c>
      <c r="F15" s="35">
        <f>+E15*D15</f>
        <v>0</v>
      </c>
    </row>
    <row r="16" spans="1:6" x14ac:dyDescent="0.25">
      <c r="A16" s="72"/>
      <c r="B16" s="77" t="s">
        <v>278</v>
      </c>
      <c r="C16" s="73"/>
      <c r="D16" s="74"/>
      <c r="E16" s="75"/>
      <c r="F16" s="76">
        <f>SUM(F14:F15)</f>
        <v>0</v>
      </c>
    </row>
    <row r="17" spans="1:6" x14ac:dyDescent="0.25">
      <c r="A17" s="19" t="s">
        <v>5</v>
      </c>
      <c r="B17" s="297" t="s">
        <v>276</v>
      </c>
      <c r="C17" s="297"/>
      <c r="D17" s="297"/>
      <c r="E17" s="297"/>
      <c r="F17" s="297"/>
    </row>
    <row r="18" spans="1:6" x14ac:dyDescent="0.25">
      <c r="A18" s="26" t="s">
        <v>5</v>
      </c>
      <c r="B18" s="294" t="s">
        <v>73</v>
      </c>
      <c r="C18" s="295"/>
      <c r="D18" s="295"/>
      <c r="E18" s="295"/>
      <c r="F18" s="296"/>
    </row>
    <row r="19" spans="1:6" x14ac:dyDescent="0.25">
      <c r="A19" s="21" t="s">
        <v>6</v>
      </c>
      <c r="B19" s="27" t="s">
        <v>74</v>
      </c>
      <c r="C19" s="28" t="s">
        <v>296</v>
      </c>
      <c r="D19" s="23">
        <f>((112*0.6*0.55)+(34*0.6*0.6*0.2))*1.2</f>
        <v>47.289600000000007</v>
      </c>
      <c r="E19" s="24">
        <f>11000*1.25</f>
        <v>13750</v>
      </c>
      <c r="F19" s="24">
        <f>+E19*D19</f>
        <v>650232.00000000012</v>
      </c>
    </row>
    <row r="20" spans="1:6" x14ac:dyDescent="0.25">
      <c r="A20" s="21" t="s">
        <v>7</v>
      </c>
      <c r="B20" s="27" t="s">
        <v>75</v>
      </c>
      <c r="C20" s="28" t="s">
        <v>296</v>
      </c>
      <c r="D20" s="23">
        <f>(112*0.6*0.05)+(0.6*0.6*0.05*34)</f>
        <v>3.9720000000000004</v>
      </c>
      <c r="E20" s="24">
        <f>182000*1.25</f>
        <v>227500</v>
      </c>
      <c r="F20" s="24">
        <f t="shared" ref="F20:F26" si="0">+E20*D20</f>
        <v>903630.00000000012</v>
      </c>
    </row>
    <row r="21" spans="1:6" x14ac:dyDescent="0.25">
      <c r="A21" s="21" t="s">
        <v>8</v>
      </c>
      <c r="B21" s="27" t="s">
        <v>76</v>
      </c>
      <c r="C21" s="28" t="s">
        <v>296</v>
      </c>
      <c r="D21" s="23">
        <f>(112*0.6*0.1)+(0.6*0.6*0.2*34)</f>
        <v>9.168000000000001</v>
      </c>
      <c r="E21" s="24">
        <v>350000</v>
      </c>
      <c r="F21" s="24">
        <f t="shared" si="0"/>
        <v>3208800.0000000005</v>
      </c>
    </row>
    <row r="22" spans="1:6" x14ac:dyDescent="0.25">
      <c r="A22" s="21" t="s">
        <v>9</v>
      </c>
      <c r="B22" s="27" t="s">
        <v>77</v>
      </c>
      <c r="C22" s="28" t="s">
        <v>296</v>
      </c>
      <c r="D22" s="23">
        <f>0.15*0.3*1*34</f>
        <v>1.53</v>
      </c>
      <c r="E22" s="24">
        <v>350000</v>
      </c>
      <c r="F22" s="24">
        <f t="shared" si="0"/>
        <v>535500</v>
      </c>
    </row>
    <row r="23" spans="1:6" x14ac:dyDescent="0.25">
      <c r="A23" s="21" t="s">
        <v>10</v>
      </c>
      <c r="B23" s="27" t="s">
        <v>78</v>
      </c>
      <c r="C23" s="28" t="s">
        <v>296</v>
      </c>
      <c r="D23" s="23">
        <f>112*0.2*0.2</f>
        <v>4.4800000000000004</v>
      </c>
      <c r="E23" s="24">
        <v>350000</v>
      </c>
      <c r="F23" s="24">
        <f t="shared" si="0"/>
        <v>1568000.0000000002</v>
      </c>
    </row>
    <row r="24" spans="1:6" x14ac:dyDescent="0.25">
      <c r="A24" s="21" t="s">
        <v>11</v>
      </c>
      <c r="B24" s="27" t="s">
        <v>79</v>
      </c>
      <c r="C24" s="28" t="s">
        <v>297</v>
      </c>
      <c r="D24" s="23">
        <f>112*0.65</f>
        <v>72.8</v>
      </c>
      <c r="E24" s="24">
        <f>29900*1.25</f>
        <v>37375</v>
      </c>
      <c r="F24" s="24">
        <f t="shared" si="0"/>
        <v>2720900</v>
      </c>
    </row>
    <row r="25" spans="1:6" x14ac:dyDescent="0.25">
      <c r="A25" s="21" t="s">
        <v>12</v>
      </c>
      <c r="B25" s="27" t="s">
        <v>80</v>
      </c>
      <c r="C25" s="28" t="s">
        <v>296</v>
      </c>
      <c r="D25" s="68">
        <f>168</f>
        <v>168</v>
      </c>
      <c r="E25" s="24">
        <f>19000*1.25</f>
        <v>23750</v>
      </c>
      <c r="F25" s="24">
        <f t="shared" si="0"/>
        <v>3990000</v>
      </c>
    </row>
    <row r="26" spans="1:6" x14ac:dyDescent="0.25">
      <c r="A26" s="21" t="s">
        <v>70</v>
      </c>
      <c r="B26" s="27" t="s">
        <v>323</v>
      </c>
      <c r="C26" s="28" t="s">
        <v>296</v>
      </c>
      <c r="D26" s="68">
        <f>D25*0.13</f>
        <v>21.84</v>
      </c>
      <c r="E26" s="35">
        <v>350000</v>
      </c>
      <c r="F26" s="24">
        <f t="shared" si="0"/>
        <v>7644000</v>
      </c>
    </row>
    <row r="27" spans="1:6" x14ac:dyDescent="0.25">
      <c r="A27" s="21" t="s">
        <v>71</v>
      </c>
      <c r="B27" s="294" t="s">
        <v>82</v>
      </c>
      <c r="C27" s="295"/>
      <c r="D27" s="295"/>
      <c r="E27" s="295"/>
      <c r="F27" s="296"/>
    </row>
    <row r="28" spans="1:6" x14ac:dyDescent="0.25">
      <c r="A28" s="21" t="s">
        <v>13</v>
      </c>
      <c r="B28" s="29" t="s">
        <v>83</v>
      </c>
      <c r="C28" s="28" t="s">
        <v>297</v>
      </c>
      <c r="D28" s="23">
        <f>60*3.5</f>
        <v>210</v>
      </c>
      <c r="E28" s="24">
        <f>27690*1.25</f>
        <v>34612.5</v>
      </c>
      <c r="F28" s="24">
        <f t="shared" ref="F28:F38" si="1">+E28*D28</f>
        <v>7268625</v>
      </c>
    </row>
    <row r="29" spans="1:6" x14ac:dyDescent="0.25">
      <c r="A29" s="21" t="s">
        <v>182</v>
      </c>
      <c r="B29" s="29" t="s">
        <v>50</v>
      </c>
      <c r="C29" s="28" t="s">
        <v>296</v>
      </c>
      <c r="D29" s="23">
        <f>0.15*0.3*3.5*26</f>
        <v>4.0949999999999998</v>
      </c>
      <c r="E29" s="24">
        <f>E21</f>
        <v>350000</v>
      </c>
      <c r="F29" s="24">
        <f t="shared" si="1"/>
        <v>1433250</v>
      </c>
    </row>
    <row r="30" spans="1:6" x14ac:dyDescent="0.25">
      <c r="A30" s="21" t="s">
        <v>183</v>
      </c>
      <c r="B30" s="29" t="s">
        <v>51</v>
      </c>
      <c r="C30" s="28" t="s">
        <v>296</v>
      </c>
      <c r="D30" s="23">
        <f>((0.2+1+0.2)*2+(0.2+2+0.2)*7+(0.2+1.2+0.2))*0.2*0.2</f>
        <v>0.84800000000000031</v>
      </c>
      <c r="E30" s="24">
        <f>E22</f>
        <v>350000</v>
      </c>
      <c r="F30" s="24">
        <f t="shared" si="1"/>
        <v>296800.00000000012</v>
      </c>
    </row>
    <row r="31" spans="1:6" x14ac:dyDescent="0.25">
      <c r="A31" s="21" t="s">
        <v>305</v>
      </c>
      <c r="B31" s="29" t="s">
        <v>52</v>
      </c>
      <c r="C31" s="28" t="s">
        <v>296</v>
      </c>
      <c r="D31" s="23">
        <f>112*0.2*0.2</f>
        <v>4.4800000000000004</v>
      </c>
      <c r="E31" s="24">
        <f>E23</f>
        <v>350000</v>
      </c>
      <c r="F31" s="24">
        <f t="shared" si="1"/>
        <v>1568000.0000000002</v>
      </c>
    </row>
    <row r="32" spans="1:6" x14ac:dyDescent="0.25">
      <c r="A32" s="21" t="s">
        <v>184</v>
      </c>
      <c r="B32" s="294" t="s">
        <v>84</v>
      </c>
      <c r="C32" s="295"/>
      <c r="D32" s="295"/>
      <c r="E32" s="295"/>
      <c r="F32" s="296">
        <f t="shared" si="1"/>
        <v>0</v>
      </c>
    </row>
    <row r="33" spans="1:12" x14ac:dyDescent="0.25">
      <c r="A33" s="21" t="s">
        <v>185</v>
      </c>
      <c r="B33" s="29" t="s">
        <v>53</v>
      </c>
      <c r="C33" s="28" t="s">
        <v>297</v>
      </c>
      <c r="D33" s="23">
        <f>(2*20.05*5.63)+(2*0.5*10.2*5.63)+(2*5.4*4.42)+(0.5*5.4*4.42)</f>
        <v>342.85900000000004</v>
      </c>
      <c r="E33" s="24">
        <v>16500</v>
      </c>
      <c r="F33" s="24">
        <f t="shared" si="1"/>
        <v>5657173.5000000009</v>
      </c>
    </row>
    <row r="34" spans="1:12" x14ac:dyDescent="0.25">
      <c r="A34" s="21" t="s">
        <v>334</v>
      </c>
      <c r="B34" s="29" t="s">
        <v>65</v>
      </c>
      <c r="C34" s="28" t="s">
        <v>297</v>
      </c>
      <c r="D34" s="23">
        <f>D33</f>
        <v>342.85900000000004</v>
      </c>
      <c r="E34" s="24">
        <f>25740</f>
        <v>25740</v>
      </c>
      <c r="F34" s="24">
        <f t="shared" si="1"/>
        <v>8825190.6600000001</v>
      </c>
      <c r="L34" s="43"/>
    </row>
    <row r="35" spans="1:12" x14ac:dyDescent="0.25">
      <c r="A35" s="21" t="s">
        <v>335</v>
      </c>
      <c r="B35" s="29" t="s">
        <v>54</v>
      </c>
      <c r="C35" s="28" t="s">
        <v>14</v>
      </c>
      <c r="D35" s="23">
        <f>(20.05*2)+(3.85*2)+(8.6*2)</f>
        <v>65</v>
      </c>
      <c r="E35" s="24">
        <f>6864*1.25</f>
        <v>8580</v>
      </c>
      <c r="F35" s="24">
        <f t="shared" si="1"/>
        <v>557700</v>
      </c>
      <c r="L35" s="44"/>
    </row>
    <row r="36" spans="1:12" x14ac:dyDescent="0.25">
      <c r="A36" s="21" t="s">
        <v>336</v>
      </c>
      <c r="B36" s="29" t="s">
        <v>55</v>
      </c>
      <c r="C36" s="28" t="s">
        <v>297</v>
      </c>
      <c r="D36" s="68">
        <f>D25+(20.05*0.8)+(10.2*0.8*2)+(4.57*0.8)+(3.85*0.8*2)+(2.4*0.8)+(4.58*0.8)+(3*0.8*2)</f>
        <v>220.55999999999997</v>
      </c>
      <c r="E36" s="24">
        <f>16000*1.5</f>
        <v>24000</v>
      </c>
      <c r="F36" s="24">
        <f t="shared" si="1"/>
        <v>5293439.9999999991</v>
      </c>
    </row>
    <row r="37" spans="1:12" x14ac:dyDescent="0.25">
      <c r="A37" s="21" t="s">
        <v>337</v>
      </c>
      <c r="B37" s="29" t="s">
        <v>56</v>
      </c>
      <c r="C37" s="28" t="s">
        <v>14</v>
      </c>
      <c r="D37" s="23">
        <f>D35</f>
        <v>65</v>
      </c>
      <c r="E37" s="35">
        <f>(7500+21000)</f>
        <v>28500</v>
      </c>
      <c r="F37" s="24">
        <f>+E37*D37</f>
        <v>1852500</v>
      </c>
    </row>
    <row r="38" spans="1:12" x14ac:dyDescent="0.25">
      <c r="A38" s="21" t="s">
        <v>15</v>
      </c>
      <c r="B38" s="30" t="s">
        <v>251</v>
      </c>
      <c r="C38" s="28" t="s">
        <v>22</v>
      </c>
      <c r="D38" s="23">
        <v>8</v>
      </c>
      <c r="E38" s="35">
        <f>0.2*0.2*3.15*500000+50000</f>
        <v>113000.00000000001</v>
      </c>
      <c r="F38" s="24">
        <f t="shared" si="1"/>
        <v>904000.00000000012</v>
      </c>
    </row>
    <row r="39" spans="1:12" x14ac:dyDescent="0.25">
      <c r="A39" s="21" t="s">
        <v>16</v>
      </c>
      <c r="B39" s="301" t="s">
        <v>85</v>
      </c>
      <c r="C39" s="302"/>
      <c r="D39" s="302"/>
      <c r="E39" s="302"/>
      <c r="F39" s="303"/>
    </row>
    <row r="40" spans="1:12" x14ac:dyDescent="0.25">
      <c r="A40" s="21" t="s">
        <v>338</v>
      </c>
      <c r="B40" s="27" t="s">
        <v>329</v>
      </c>
      <c r="C40" s="28" t="s">
        <v>297</v>
      </c>
      <c r="D40" s="23">
        <f>D28*2</f>
        <v>420</v>
      </c>
      <c r="E40" s="24">
        <v>9150</v>
      </c>
      <c r="F40" s="24">
        <f>+E40*D40</f>
        <v>3843000</v>
      </c>
    </row>
    <row r="41" spans="1:12" x14ac:dyDescent="0.25">
      <c r="A41" s="21" t="s">
        <v>17</v>
      </c>
      <c r="B41" s="27" t="s">
        <v>253</v>
      </c>
      <c r="C41" s="28" t="s">
        <v>297</v>
      </c>
      <c r="D41" s="23">
        <f>D36</f>
        <v>220.55999999999997</v>
      </c>
      <c r="E41" s="24">
        <v>9750</v>
      </c>
      <c r="F41" s="24">
        <f>+E41*D41</f>
        <v>2150459.9999999995</v>
      </c>
    </row>
    <row r="42" spans="1:12" x14ac:dyDescent="0.25">
      <c r="A42" s="21" t="s">
        <v>18</v>
      </c>
      <c r="B42" s="27" t="s">
        <v>333</v>
      </c>
      <c r="C42" s="28" t="s">
        <v>297</v>
      </c>
      <c r="D42" s="23">
        <f>(0.3*2+0.2*2)*3.72*8</f>
        <v>29.76</v>
      </c>
      <c r="E42" s="24">
        <f>'[1]Gare fluviale,'!$E$51</f>
        <v>8820</v>
      </c>
      <c r="F42" s="24">
        <f>+E42*D42</f>
        <v>262483.20000000001</v>
      </c>
    </row>
    <row r="43" spans="1:12" x14ac:dyDescent="0.25">
      <c r="A43" s="21" t="s">
        <v>19</v>
      </c>
      <c r="B43" s="29" t="s">
        <v>364</v>
      </c>
      <c r="C43" s="28" t="s">
        <v>297</v>
      </c>
      <c r="D43" s="23">
        <f>(1.7*1.43)*3</f>
        <v>7.2930000000000001</v>
      </c>
      <c r="E43" s="24">
        <v>35000</v>
      </c>
      <c r="F43" s="24">
        <f>+E43*D43</f>
        <v>255255</v>
      </c>
    </row>
    <row r="44" spans="1:12" x14ac:dyDescent="0.25">
      <c r="A44" s="21" t="s">
        <v>339</v>
      </c>
      <c r="B44" s="29" t="s">
        <v>88</v>
      </c>
      <c r="C44" s="28" t="s">
        <v>297</v>
      </c>
      <c r="D44" s="23">
        <f>18.45*8.6</f>
        <v>158.66999999999999</v>
      </c>
      <c r="E44" s="24">
        <v>35000</v>
      </c>
      <c r="F44" s="24">
        <f t="shared" ref="F44" si="2">+E44*D44</f>
        <v>5553450</v>
      </c>
    </row>
    <row r="45" spans="1:12" x14ac:dyDescent="0.25">
      <c r="A45" s="21" t="s">
        <v>340</v>
      </c>
      <c r="B45" s="29" t="s">
        <v>62</v>
      </c>
      <c r="C45" s="28" t="s">
        <v>297</v>
      </c>
      <c r="D45" s="23">
        <f>((1.43*2)*2+(1.7*2)*2)*3+(4.58*2.5*2)+(3*2.5*2)</f>
        <v>75.460000000000008</v>
      </c>
      <c r="E45" s="24">
        <f>26558*1.25</f>
        <v>33197.5</v>
      </c>
      <c r="F45" s="24">
        <f>+E45*D45</f>
        <v>2505083.35</v>
      </c>
    </row>
    <row r="46" spans="1:12" x14ac:dyDescent="0.25">
      <c r="A46" s="21" t="s">
        <v>341</v>
      </c>
      <c r="B46" s="27" t="s">
        <v>57</v>
      </c>
      <c r="C46" s="28" t="s">
        <v>14</v>
      </c>
      <c r="D46" s="23">
        <f>(5.08*5)+18.45+(3*4)+(3.85*2)+(2.4*3)+3+1.43+(4.58*3)+2.05</f>
        <v>90.97</v>
      </c>
      <c r="E46" s="24">
        <f>20768</f>
        <v>20768</v>
      </c>
      <c r="F46" s="24">
        <f>+E46*D46</f>
        <v>1889264.96</v>
      </c>
    </row>
    <row r="47" spans="1:12" x14ac:dyDescent="0.25">
      <c r="A47" s="21" t="s">
        <v>342</v>
      </c>
      <c r="B47" s="294" t="s">
        <v>262</v>
      </c>
      <c r="C47" s="295"/>
      <c r="D47" s="295"/>
      <c r="E47" s="295"/>
      <c r="F47" s="296"/>
    </row>
    <row r="48" spans="1:12" x14ac:dyDescent="0.25">
      <c r="A48" s="21" t="s">
        <v>40</v>
      </c>
      <c r="B48" s="27" t="s">
        <v>330</v>
      </c>
      <c r="C48" s="31" t="s">
        <v>2</v>
      </c>
      <c r="D48" s="32">
        <v>3</v>
      </c>
      <c r="E48" s="24">
        <f>220000*1.25</f>
        <v>275000</v>
      </c>
      <c r="F48" s="24">
        <f>+E48*D48</f>
        <v>825000</v>
      </c>
    </row>
    <row r="49" spans="1:10" x14ac:dyDescent="0.25">
      <c r="A49" s="21" t="s">
        <v>20</v>
      </c>
      <c r="B49" s="27" t="s">
        <v>331</v>
      </c>
      <c r="C49" s="31" t="s">
        <v>2</v>
      </c>
      <c r="D49" s="32">
        <v>4</v>
      </c>
      <c r="E49" s="24">
        <f>220000*1.25</f>
        <v>275000</v>
      </c>
      <c r="F49" s="24">
        <f>+E49*D49</f>
        <v>1100000</v>
      </c>
    </row>
    <row r="50" spans="1:10" x14ac:dyDescent="0.25">
      <c r="A50" s="21" t="s">
        <v>21</v>
      </c>
      <c r="B50" s="27" t="s">
        <v>265</v>
      </c>
      <c r="C50" s="31" t="s">
        <v>2</v>
      </c>
      <c r="D50" s="32">
        <v>2</v>
      </c>
      <c r="E50" s="35">
        <f>620000</f>
        <v>620000</v>
      </c>
      <c r="F50" s="24">
        <f>D50*E50</f>
        <v>1240000</v>
      </c>
    </row>
    <row r="51" spans="1:10" x14ac:dyDescent="0.25">
      <c r="A51" s="21" t="s">
        <v>23</v>
      </c>
      <c r="B51" s="29" t="s">
        <v>332</v>
      </c>
      <c r="C51" s="31" t="s">
        <v>2</v>
      </c>
      <c r="D51" s="32">
        <v>3</v>
      </c>
      <c r="E51" s="35">
        <f>340000</f>
        <v>340000</v>
      </c>
      <c r="F51" s="24">
        <f>+E51*D51</f>
        <v>1020000</v>
      </c>
    </row>
    <row r="52" spans="1:10" x14ac:dyDescent="0.25">
      <c r="A52" s="21" t="s">
        <v>46</v>
      </c>
      <c r="B52" s="29" t="s">
        <v>260</v>
      </c>
      <c r="C52" s="31" t="s">
        <v>2</v>
      </c>
      <c r="D52" s="32">
        <v>3</v>
      </c>
      <c r="E52" s="35">
        <v>320000</v>
      </c>
      <c r="F52" s="24">
        <f t="shared" ref="F52" si="3">+E52*D52</f>
        <v>960000</v>
      </c>
    </row>
    <row r="53" spans="1:10" x14ac:dyDescent="0.25">
      <c r="A53" s="21" t="s">
        <v>47</v>
      </c>
      <c r="B53" s="30" t="s">
        <v>266</v>
      </c>
      <c r="C53" s="69" t="s">
        <v>14</v>
      </c>
      <c r="D53" s="32">
        <f>18+4</f>
        <v>22</v>
      </c>
      <c r="E53" s="35">
        <f>48000</f>
        <v>48000</v>
      </c>
      <c r="F53" s="67">
        <f>D53*E53</f>
        <v>1056000</v>
      </c>
    </row>
    <row r="54" spans="1:10" x14ac:dyDescent="0.25">
      <c r="A54" s="72"/>
      <c r="B54" s="77" t="s">
        <v>277</v>
      </c>
      <c r="C54" s="73"/>
      <c r="D54" s="74"/>
      <c r="E54" s="75"/>
      <c r="F54" s="76">
        <f>F53+F52+F51+F50+F49+F48+F46+F45+F44+F43+F42+F41+F40+F38+F37+F36+F35+F34+F33+F31+F30+F29+F28+F26+F25+F24+F23+F22+F21+F20+F19</f>
        <v>77537737.670000002</v>
      </c>
    </row>
    <row r="55" spans="1:10" x14ac:dyDescent="0.25">
      <c r="A55" s="19" t="s">
        <v>24</v>
      </c>
      <c r="B55" s="297" t="s">
        <v>89</v>
      </c>
      <c r="C55" s="297"/>
      <c r="D55" s="297"/>
      <c r="E55" s="297"/>
      <c r="F55" s="297"/>
    </row>
    <row r="56" spans="1:10" x14ac:dyDescent="0.25">
      <c r="A56" s="118" t="s">
        <v>25</v>
      </c>
      <c r="B56" s="30" t="s">
        <v>187</v>
      </c>
      <c r="C56" s="31" t="s">
        <v>188</v>
      </c>
      <c r="D56" s="46">
        <v>1</v>
      </c>
      <c r="E56" s="47">
        <v>2370000</v>
      </c>
      <c r="F56" s="24">
        <f t="shared" ref="F56:F65" si="4">+E56*D56</f>
        <v>2370000</v>
      </c>
      <c r="J56" s="39"/>
    </row>
    <row r="57" spans="1:10" ht="12.75" customHeight="1" x14ac:dyDescent="0.25">
      <c r="A57" s="118" t="s">
        <v>26</v>
      </c>
      <c r="B57" s="30" t="s">
        <v>190</v>
      </c>
      <c r="C57" s="31" t="s">
        <v>188</v>
      </c>
      <c r="D57" s="46">
        <v>1</v>
      </c>
      <c r="E57" s="47">
        <v>3160000</v>
      </c>
      <c r="F57" s="24">
        <f t="shared" si="4"/>
        <v>3160000</v>
      </c>
    </row>
    <row r="58" spans="1:10" ht="18.75" customHeight="1" x14ac:dyDescent="0.25">
      <c r="A58" s="118" t="s">
        <v>27</v>
      </c>
      <c r="B58" s="30" t="s">
        <v>193</v>
      </c>
      <c r="C58" s="31" t="s">
        <v>188</v>
      </c>
      <c r="D58" s="46">
        <v>1</v>
      </c>
      <c r="E58" s="47">
        <v>790000</v>
      </c>
      <c r="F58" s="24">
        <f t="shared" si="4"/>
        <v>790000</v>
      </c>
    </row>
    <row r="59" spans="1:10" x14ac:dyDescent="0.25">
      <c r="A59" s="118" t="s">
        <v>66</v>
      </c>
      <c r="B59" s="45" t="s">
        <v>91</v>
      </c>
      <c r="C59" s="31" t="s">
        <v>2</v>
      </c>
      <c r="D59" s="46">
        <v>2</v>
      </c>
      <c r="E59" s="47">
        <v>24202</v>
      </c>
      <c r="F59" s="24">
        <f t="shared" si="4"/>
        <v>48404</v>
      </c>
      <c r="H59" s="43"/>
    </row>
    <row r="60" spans="1:10" x14ac:dyDescent="0.25">
      <c r="A60" s="118" t="s">
        <v>67</v>
      </c>
      <c r="B60" s="45" t="s">
        <v>92</v>
      </c>
      <c r="C60" s="31" t="s">
        <v>2</v>
      </c>
      <c r="D60" s="46">
        <v>1</v>
      </c>
      <c r="E60" s="47">
        <v>2096</v>
      </c>
      <c r="F60" s="24">
        <f t="shared" si="4"/>
        <v>2096</v>
      </c>
    </row>
    <row r="61" spans="1:10" x14ac:dyDescent="0.25">
      <c r="A61" s="118" t="s">
        <v>96</v>
      </c>
      <c r="B61" s="45" t="s">
        <v>93</v>
      </c>
      <c r="C61" s="31" t="s">
        <v>2</v>
      </c>
      <c r="D61" s="46">
        <v>1</v>
      </c>
      <c r="E61" s="47">
        <v>40000</v>
      </c>
      <c r="F61" s="24">
        <f t="shared" si="4"/>
        <v>40000</v>
      </c>
    </row>
    <row r="62" spans="1:10" x14ac:dyDescent="0.25">
      <c r="A62" s="118" t="s">
        <v>99</v>
      </c>
      <c r="B62" s="45" t="s">
        <v>94</v>
      </c>
      <c r="C62" s="31" t="s">
        <v>2</v>
      </c>
      <c r="D62" s="46">
        <v>1</v>
      </c>
      <c r="E62" s="47">
        <v>18824</v>
      </c>
      <c r="F62" s="24">
        <f t="shared" si="4"/>
        <v>18824</v>
      </c>
      <c r="H62" s="43"/>
    </row>
    <row r="63" spans="1:10" x14ac:dyDescent="0.25">
      <c r="A63" s="118" t="s">
        <v>360</v>
      </c>
      <c r="B63" s="45" t="s">
        <v>95</v>
      </c>
      <c r="C63" s="31" t="s">
        <v>2</v>
      </c>
      <c r="D63" s="46">
        <v>15</v>
      </c>
      <c r="E63" s="47">
        <f>3275*1.25</f>
        <v>4093.75</v>
      </c>
      <c r="F63" s="24">
        <f t="shared" si="4"/>
        <v>61406.25</v>
      </c>
    </row>
    <row r="64" spans="1:10" x14ac:dyDescent="0.25">
      <c r="A64" s="118" t="s">
        <v>361</v>
      </c>
      <c r="B64" s="45" t="s">
        <v>97</v>
      </c>
      <c r="C64" s="31" t="s">
        <v>14</v>
      </c>
      <c r="D64" s="46">
        <v>10</v>
      </c>
      <c r="E64" s="47">
        <v>6051</v>
      </c>
      <c r="F64" s="24">
        <f t="shared" si="4"/>
        <v>60510</v>
      </c>
      <c r="H64" s="43"/>
    </row>
    <row r="65" spans="1:11" x14ac:dyDescent="0.25">
      <c r="A65" s="118" t="s">
        <v>101</v>
      </c>
      <c r="B65" s="45" t="s">
        <v>100</v>
      </c>
      <c r="C65" s="31" t="s">
        <v>14</v>
      </c>
      <c r="D65" s="46">
        <v>10</v>
      </c>
      <c r="E65" s="47">
        <v>4000</v>
      </c>
      <c r="F65" s="24">
        <f t="shared" si="4"/>
        <v>40000</v>
      </c>
      <c r="H65" s="43"/>
    </row>
    <row r="66" spans="1:11" x14ac:dyDescent="0.25">
      <c r="A66" s="118" t="s">
        <v>102</v>
      </c>
      <c r="B66" s="45" t="s">
        <v>283</v>
      </c>
      <c r="C66" s="48" t="s">
        <v>103</v>
      </c>
      <c r="D66" s="48">
        <v>1</v>
      </c>
      <c r="E66" s="55">
        <v>600000</v>
      </c>
      <c r="F66" s="24">
        <f>+E66*D66</f>
        <v>600000</v>
      </c>
    </row>
    <row r="67" spans="1:11" x14ac:dyDescent="0.25">
      <c r="A67" s="118" t="s">
        <v>366</v>
      </c>
      <c r="B67" s="45" t="s">
        <v>365</v>
      </c>
      <c r="C67" s="31" t="s">
        <v>22</v>
      </c>
      <c r="D67" s="46">
        <v>1</v>
      </c>
      <c r="E67" s="47">
        <v>1500000</v>
      </c>
      <c r="F67" s="24">
        <f>+E67*D67</f>
        <v>1500000</v>
      </c>
    </row>
    <row r="68" spans="1:11" ht="22.5" x14ac:dyDescent="0.25">
      <c r="A68" s="118" t="s">
        <v>367</v>
      </c>
      <c r="B68" s="45" t="s">
        <v>284</v>
      </c>
      <c r="C68" s="31" t="s">
        <v>14</v>
      </c>
      <c r="D68" s="46">
        <v>238.01</v>
      </c>
      <c r="E68" s="47">
        <f>2800</f>
        <v>2800</v>
      </c>
      <c r="F68" s="24">
        <f t="shared" ref="F68:F79" si="5">+E68*D68</f>
        <v>666428</v>
      </c>
      <c r="H68" s="43"/>
      <c r="I68" s="43"/>
      <c r="J68" s="43"/>
      <c r="K68" s="43"/>
    </row>
    <row r="69" spans="1:11" x14ac:dyDescent="0.25">
      <c r="A69" s="118" t="s">
        <v>368</v>
      </c>
      <c r="B69" s="45" t="s">
        <v>106</v>
      </c>
      <c r="C69" s="31" t="s">
        <v>107</v>
      </c>
      <c r="D69" s="46">
        <v>6</v>
      </c>
      <c r="E69" s="47">
        <v>86640</v>
      </c>
      <c r="F69" s="24">
        <f t="shared" si="5"/>
        <v>519840</v>
      </c>
    </row>
    <row r="70" spans="1:11" x14ac:dyDescent="0.25">
      <c r="A70" s="118" t="s">
        <v>369</v>
      </c>
      <c r="B70" s="45" t="s">
        <v>108</v>
      </c>
      <c r="C70" s="31" t="s">
        <v>107</v>
      </c>
      <c r="D70" s="46">
        <v>10</v>
      </c>
      <c r="E70" s="47">
        <v>91200</v>
      </c>
      <c r="F70" s="24">
        <f t="shared" si="5"/>
        <v>912000</v>
      </c>
      <c r="H70" s="43"/>
    </row>
    <row r="71" spans="1:11" x14ac:dyDescent="0.25">
      <c r="A71" s="118" t="s">
        <v>370</v>
      </c>
      <c r="B71" s="45" t="s">
        <v>109</v>
      </c>
      <c r="C71" s="31" t="s">
        <v>110</v>
      </c>
      <c r="D71" s="46">
        <v>10</v>
      </c>
      <c r="E71" s="47">
        <f>14490*1.25</f>
        <v>18112.5</v>
      </c>
      <c r="F71" s="24">
        <f t="shared" si="5"/>
        <v>181125</v>
      </c>
    </row>
    <row r="72" spans="1:11" x14ac:dyDescent="0.25">
      <c r="A72" s="118" t="s">
        <v>371</v>
      </c>
      <c r="B72" s="45" t="s">
        <v>111</v>
      </c>
      <c r="C72" s="31" t="s">
        <v>110</v>
      </c>
      <c r="D72" s="46">
        <v>6</v>
      </c>
      <c r="E72" s="47">
        <f>22500</f>
        <v>22500</v>
      </c>
      <c r="F72" s="24">
        <f t="shared" si="5"/>
        <v>135000</v>
      </c>
    </row>
    <row r="73" spans="1:11" x14ac:dyDescent="0.25">
      <c r="A73" s="118" t="s">
        <v>372</v>
      </c>
      <c r="B73" s="45" t="s">
        <v>112</v>
      </c>
      <c r="C73" s="31" t="s">
        <v>110</v>
      </c>
      <c r="D73" s="46">
        <v>2</v>
      </c>
      <c r="E73" s="47">
        <f>12524*1.57*1.25</f>
        <v>24578.35</v>
      </c>
      <c r="F73" s="24">
        <f t="shared" si="5"/>
        <v>49156.7</v>
      </c>
    </row>
    <row r="74" spans="1:11" x14ac:dyDescent="0.25">
      <c r="A74" s="118" t="s">
        <v>373</v>
      </c>
      <c r="B74" s="45" t="s">
        <v>113</v>
      </c>
      <c r="C74" s="31" t="s">
        <v>110</v>
      </c>
      <c r="D74" s="46">
        <v>20</v>
      </c>
      <c r="E74" s="47">
        <f>8800*1.25</f>
        <v>11000</v>
      </c>
      <c r="F74" s="24">
        <f t="shared" si="5"/>
        <v>220000</v>
      </c>
    </row>
    <row r="75" spans="1:11" ht="22.5" x14ac:dyDescent="0.25">
      <c r="A75" s="118" t="s">
        <v>104</v>
      </c>
      <c r="B75" s="45" t="s">
        <v>114</v>
      </c>
      <c r="C75" s="31" t="s">
        <v>110</v>
      </c>
      <c r="D75" s="46">
        <v>4</v>
      </c>
      <c r="E75" s="47">
        <f>25000</f>
        <v>25000</v>
      </c>
      <c r="F75" s="24">
        <f t="shared" si="5"/>
        <v>100000</v>
      </c>
    </row>
    <row r="76" spans="1:11" x14ac:dyDescent="0.25">
      <c r="A76" s="118" t="s">
        <v>105</v>
      </c>
      <c r="B76" s="45" t="s">
        <v>115</v>
      </c>
      <c r="C76" s="31" t="s">
        <v>110</v>
      </c>
      <c r="D76" s="46">
        <v>3</v>
      </c>
      <c r="E76" s="47">
        <f>54054*1.25</f>
        <v>67567.5</v>
      </c>
      <c r="F76" s="24">
        <f t="shared" si="5"/>
        <v>202702.5</v>
      </c>
    </row>
    <row r="77" spans="1:11" ht="22.5" x14ac:dyDescent="0.25">
      <c r="A77" s="118" t="s">
        <v>374</v>
      </c>
      <c r="B77" s="45" t="s">
        <v>116</v>
      </c>
      <c r="C77" s="31" t="s">
        <v>110</v>
      </c>
      <c r="D77" s="46">
        <v>8</v>
      </c>
      <c r="E77" s="47">
        <f>32685*1.25</f>
        <v>40856.25</v>
      </c>
      <c r="F77" s="24">
        <f t="shared" si="5"/>
        <v>326850</v>
      </c>
    </row>
    <row r="78" spans="1:11" ht="22.5" x14ac:dyDescent="0.25">
      <c r="A78" s="118" t="s">
        <v>375</v>
      </c>
      <c r="B78" s="45" t="s">
        <v>117</v>
      </c>
      <c r="C78" s="31" t="s">
        <v>2</v>
      </c>
      <c r="D78" s="46">
        <v>20</v>
      </c>
      <c r="E78" s="47">
        <v>76059</v>
      </c>
      <c r="F78" s="24">
        <f t="shared" si="5"/>
        <v>1521180</v>
      </c>
    </row>
    <row r="79" spans="1:11" x14ac:dyDescent="0.25">
      <c r="A79" s="118" t="s">
        <v>376</v>
      </c>
      <c r="B79" s="45" t="s">
        <v>118</v>
      </c>
      <c r="C79" s="31" t="s">
        <v>2</v>
      </c>
      <c r="D79" s="46">
        <v>6</v>
      </c>
      <c r="E79" s="47">
        <f>4958*1.25</f>
        <v>6197.5</v>
      </c>
      <c r="F79" s="24">
        <f t="shared" si="5"/>
        <v>37185</v>
      </c>
    </row>
    <row r="80" spans="1:11" x14ac:dyDescent="0.25">
      <c r="A80" s="118" t="s">
        <v>377</v>
      </c>
      <c r="B80" s="45" t="s">
        <v>119</v>
      </c>
      <c r="C80" s="31" t="s">
        <v>2</v>
      </c>
      <c r="D80" s="46">
        <v>3</v>
      </c>
      <c r="E80" s="47">
        <f>55547*1.25</f>
        <v>69433.75</v>
      </c>
      <c r="F80" s="49">
        <f>D80*E80</f>
        <v>208301.25</v>
      </c>
    </row>
    <row r="81" spans="1:12" x14ac:dyDescent="0.25">
      <c r="A81" s="118" t="s">
        <v>378</v>
      </c>
      <c r="B81" s="45" t="s">
        <v>121</v>
      </c>
      <c r="C81" s="31" t="s">
        <v>2</v>
      </c>
      <c r="D81" s="46">
        <v>2</v>
      </c>
      <c r="E81" s="47">
        <f>339856*1.25</f>
        <v>424820</v>
      </c>
      <c r="F81" s="24">
        <f t="shared" ref="F81" si="6">+E81*D81</f>
        <v>849640</v>
      </c>
    </row>
    <row r="82" spans="1:12" x14ac:dyDescent="0.25">
      <c r="A82" s="118" t="s">
        <v>379</v>
      </c>
      <c r="B82" s="80" t="s">
        <v>267</v>
      </c>
      <c r="C82" s="31" t="s">
        <v>2</v>
      </c>
      <c r="D82" s="46">
        <f>12</f>
        <v>12</v>
      </c>
      <c r="E82" s="47">
        <v>19500</v>
      </c>
      <c r="F82" s="70">
        <f>D82*E82</f>
        <v>234000</v>
      </c>
    </row>
    <row r="83" spans="1:12" x14ac:dyDescent="0.25">
      <c r="A83" s="72"/>
      <c r="B83" s="77" t="s">
        <v>286</v>
      </c>
      <c r="C83" s="73"/>
      <c r="D83" s="74"/>
      <c r="E83" s="75"/>
      <c r="F83" s="76">
        <f>F82+F81+F80+F79+F78+F77+F76+F75+F74+F73+F72+F71+F70+F69+F68+F67+F66+F65+F64+F63+F62+F61+F60+F59+F58+F57+F56</f>
        <v>14854648.699999999</v>
      </c>
      <c r="H83" s="39"/>
    </row>
    <row r="84" spans="1:12" x14ac:dyDescent="0.25">
      <c r="A84" s="19" t="s">
        <v>28</v>
      </c>
      <c r="B84" s="297" t="s">
        <v>122</v>
      </c>
      <c r="C84" s="297"/>
      <c r="D84" s="297"/>
      <c r="E84" s="297"/>
      <c r="F84" s="297"/>
    </row>
    <row r="85" spans="1:12" x14ac:dyDescent="0.25">
      <c r="A85" s="26" t="s">
        <v>28</v>
      </c>
      <c r="B85" s="294" t="s">
        <v>123</v>
      </c>
      <c r="C85" s="295"/>
      <c r="D85" s="295"/>
      <c r="E85" s="295"/>
      <c r="F85" s="296"/>
    </row>
    <row r="86" spans="1:12" x14ac:dyDescent="0.25">
      <c r="A86" s="21" t="s">
        <v>194</v>
      </c>
      <c r="B86" s="30" t="s">
        <v>195</v>
      </c>
      <c r="C86" s="31" t="s">
        <v>188</v>
      </c>
      <c r="D86" s="46">
        <v>1</v>
      </c>
      <c r="E86" s="47">
        <v>1685000</v>
      </c>
      <c r="F86" s="24">
        <f t="shared" ref="F86:F92" si="7">+E86*D86</f>
        <v>1685000</v>
      </c>
      <c r="J86" s="39"/>
    </row>
    <row r="87" spans="1:12" x14ac:dyDescent="0.25">
      <c r="A87" s="21" t="s">
        <v>196</v>
      </c>
      <c r="B87" s="30" t="s">
        <v>190</v>
      </c>
      <c r="C87" s="31" t="s">
        <v>188</v>
      </c>
      <c r="D87" s="46">
        <v>1</v>
      </c>
      <c r="E87" s="47">
        <v>2165000</v>
      </c>
      <c r="F87" s="24">
        <f t="shared" si="7"/>
        <v>2165000</v>
      </c>
    </row>
    <row r="88" spans="1:12" x14ac:dyDescent="0.25">
      <c r="A88" s="21" t="s">
        <v>197</v>
      </c>
      <c r="B88" s="30" t="s">
        <v>198</v>
      </c>
      <c r="C88" s="31" t="s">
        <v>188</v>
      </c>
      <c r="D88" s="46">
        <v>1</v>
      </c>
      <c r="E88" s="47">
        <v>965000</v>
      </c>
      <c r="F88" s="24">
        <f t="shared" si="7"/>
        <v>965000</v>
      </c>
    </row>
    <row r="89" spans="1:12" x14ac:dyDescent="0.25">
      <c r="A89" s="21" t="s">
        <v>29</v>
      </c>
      <c r="B89" s="81" t="s">
        <v>124</v>
      </c>
      <c r="C89" s="82" t="s">
        <v>14</v>
      </c>
      <c r="D89" s="48">
        <v>25</v>
      </c>
      <c r="E89" s="54">
        <v>1925</v>
      </c>
      <c r="F89" s="24">
        <f t="shared" si="7"/>
        <v>48125</v>
      </c>
    </row>
    <row r="90" spans="1:12" x14ac:dyDescent="0.25">
      <c r="A90" s="21" t="s">
        <v>30</v>
      </c>
      <c r="B90" s="81" t="s">
        <v>125</v>
      </c>
      <c r="C90" s="82" t="s">
        <v>14</v>
      </c>
      <c r="D90" s="48">
        <v>15</v>
      </c>
      <c r="E90" s="54">
        <v>1675</v>
      </c>
      <c r="F90" s="24">
        <f t="shared" si="7"/>
        <v>25125</v>
      </c>
    </row>
    <row r="91" spans="1:12" x14ac:dyDescent="0.25">
      <c r="A91" s="21" t="s">
        <v>31</v>
      </c>
      <c r="B91" s="81" t="s">
        <v>126</v>
      </c>
      <c r="C91" s="82" t="s">
        <v>14</v>
      </c>
      <c r="D91" s="48">
        <v>10</v>
      </c>
      <c r="E91" s="54">
        <v>750</v>
      </c>
      <c r="F91" s="24">
        <f t="shared" si="7"/>
        <v>7500</v>
      </c>
    </row>
    <row r="92" spans="1:12" x14ac:dyDescent="0.25">
      <c r="A92" s="21" t="s">
        <v>32</v>
      </c>
      <c r="B92" s="81" t="s">
        <v>127</v>
      </c>
      <c r="C92" s="82" t="s">
        <v>2</v>
      </c>
      <c r="D92" s="48">
        <v>3</v>
      </c>
      <c r="E92" s="54">
        <f>42900*1.25</f>
        <v>53625</v>
      </c>
      <c r="F92" s="24">
        <f t="shared" si="7"/>
        <v>160875</v>
      </c>
      <c r="K92" s="293"/>
      <c r="L92" s="293"/>
    </row>
    <row r="93" spans="1:12" x14ac:dyDescent="0.25">
      <c r="A93" s="21" t="s">
        <v>307</v>
      </c>
      <c r="B93" s="294" t="s">
        <v>128</v>
      </c>
      <c r="C93" s="295"/>
      <c r="D93" s="295"/>
      <c r="E93" s="295"/>
      <c r="F93" s="296"/>
    </row>
    <row r="94" spans="1:12" x14ac:dyDescent="0.25">
      <c r="A94" s="21" t="s">
        <v>388</v>
      </c>
      <c r="B94" s="81" t="s">
        <v>129</v>
      </c>
      <c r="C94" s="82" t="s">
        <v>14</v>
      </c>
      <c r="D94" s="152">
        <f>D37</f>
        <v>65</v>
      </c>
      <c r="E94" s="54">
        <v>4550</v>
      </c>
      <c r="F94" s="24">
        <f t="shared" ref="F94" si="8">+E94*D94</f>
        <v>295750</v>
      </c>
    </row>
    <row r="95" spans="1:12" x14ac:dyDescent="0.25">
      <c r="A95" s="21" t="s">
        <v>308</v>
      </c>
      <c r="B95" s="294" t="s">
        <v>130</v>
      </c>
      <c r="C95" s="295"/>
      <c r="D95" s="295"/>
      <c r="E95" s="295"/>
      <c r="F95" s="296" t="s">
        <v>131</v>
      </c>
    </row>
    <row r="96" spans="1:12" x14ac:dyDescent="0.25">
      <c r="A96" s="21" t="s">
        <v>309</v>
      </c>
      <c r="B96" s="53" t="s">
        <v>132</v>
      </c>
      <c r="C96" s="33" t="s">
        <v>14</v>
      </c>
      <c r="D96" s="33">
        <v>50</v>
      </c>
      <c r="E96" s="52">
        <f>1900*1.25</f>
        <v>2375</v>
      </c>
      <c r="F96" s="24">
        <f t="shared" ref="F96:F101" si="9">+E96*D96</f>
        <v>118750</v>
      </c>
    </row>
    <row r="97" spans="1:8" x14ac:dyDescent="0.25">
      <c r="A97" s="21" t="s">
        <v>389</v>
      </c>
      <c r="B97" s="53" t="s">
        <v>133</v>
      </c>
      <c r="C97" s="33" t="s">
        <v>2</v>
      </c>
      <c r="D97" s="33">
        <v>1</v>
      </c>
      <c r="E97" s="52">
        <f>165000*1.25</f>
        <v>206250</v>
      </c>
      <c r="F97" s="24">
        <f t="shared" si="9"/>
        <v>206250</v>
      </c>
    </row>
    <row r="98" spans="1:8" x14ac:dyDescent="0.25">
      <c r="A98" s="21" t="s">
        <v>33</v>
      </c>
      <c r="B98" s="53" t="s">
        <v>134</v>
      </c>
      <c r="C98" s="33" t="s">
        <v>2</v>
      </c>
      <c r="D98" s="33">
        <v>1</v>
      </c>
      <c r="E98" s="52">
        <f>40200*1.25</f>
        <v>50250</v>
      </c>
      <c r="F98" s="24">
        <f t="shared" si="9"/>
        <v>50250</v>
      </c>
    </row>
    <row r="99" spans="1:8" x14ac:dyDescent="0.25">
      <c r="A99" s="21" t="s">
        <v>34</v>
      </c>
      <c r="B99" s="53" t="s">
        <v>135</v>
      </c>
      <c r="C99" s="33" t="s">
        <v>2</v>
      </c>
      <c r="D99" s="33">
        <v>1</v>
      </c>
      <c r="E99" s="52">
        <f>13100*1.57*1.25</f>
        <v>25708.75</v>
      </c>
      <c r="F99" s="24">
        <f t="shared" si="9"/>
        <v>25708.75</v>
      </c>
    </row>
    <row r="100" spans="1:8" x14ac:dyDescent="0.25">
      <c r="A100" s="21" t="s">
        <v>390</v>
      </c>
      <c r="B100" s="53" t="s">
        <v>136</v>
      </c>
      <c r="C100" s="33" t="s">
        <v>2</v>
      </c>
      <c r="D100" s="33">
        <v>1</v>
      </c>
      <c r="E100" s="52">
        <f>21222*1.57*1.25</f>
        <v>41648.175000000003</v>
      </c>
      <c r="F100" s="24">
        <f t="shared" si="9"/>
        <v>41648.175000000003</v>
      </c>
    </row>
    <row r="101" spans="1:8" x14ac:dyDescent="0.25">
      <c r="A101" s="21" t="s">
        <v>391</v>
      </c>
      <c r="B101" s="50" t="s">
        <v>137</v>
      </c>
      <c r="C101" s="33" t="s">
        <v>2</v>
      </c>
      <c r="D101" s="33">
        <v>2</v>
      </c>
      <c r="E101" s="52">
        <f>21420*1.25</f>
        <v>26775</v>
      </c>
      <c r="F101" s="24">
        <f t="shared" si="9"/>
        <v>53550</v>
      </c>
    </row>
    <row r="102" spans="1:8" x14ac:dyDescent="0.25">
      <c r="A102" s="21" t="s">
        <v>392</v>
      </c>
      <c r="B102" s="294" t="s">
        <v>138</v>
      </c>
      <c r="C102" s="295"/>
      <c r="D102" s="295"/>
      <c r="E102" s="295"/>
      <c r="F102" s="296"/>
    </row>
    <row r="103" spans="1:8" x14ac:dyDescent="0.25">
      <c r="A103" s="21" t="s">
        <v>393</v>
      </c>
      <c r="B103" s="50" t="s">
        <v>139</v>
      </c>
      <c r="C103" s="51" t="s">
        <v>4</v>
      </c>
      <c r="D103" s="33">
        <v>3</v>
      </c>
      <c r="E103" s="52">
        <f>260260*1.25</f>
        <v>325325</v>
      </c>
      <c r="F103" s="24">
        <f t="shared" ref="F103:F104" si="10">+E103*D103</f>
        <v>975975</v>
      </c>
    </row>
    <row r="104" spans="1:8" x14ac:dyDescent="0.25">
      <c r="A104" s="21" t="s">
        <v>394</v>
      </c>
      <c r="B104" s="50" t="s">
        <v>140</v>
      </c>
      <c r="C104" s="51" t="s">
        <v>4</v>
      </c>
      <c r="D104" s="33">
        <v>3</v>
      </c>
      <c r="E104" s="52">
        <f>207351*1.25</f>
        <v>259188.75</v>
      </c>
      <c r="F104" s="24">
        <f t="shared" si="10"/>
        <v>777566.25</v>
      </c>
    </row>
    <row r="105" spans="1:8" x14ac:dyDescent="0.25">
      <c r="A105" s="21" t="s">
        <v>395</v>
      </c>
      <c r="B105" s="294" t="s">
        <v>141</v>
      </c>
      <c r="C105" s="295"/>
      <c r="D105" s="295"/>
      <c r="E105" s="295"/>
      <c r="F105" s="296"/>
    </row>
    <row r="106" spans="1:8" x14ac:dyDescent="0.25">
      <c r="A106" s="21" t="s">
        <v>396</v>
      </c>
      <c r="B106" s="50" t="s">
        <v>142</v>
      </c>
      <c r="C106" s="33" t="s">
        <v>2</v>
      </c>
      <c r="D106" s="33">
        <v>3</v>
      </c>
      <c r="E106" s="52">
        <f>27846*1.25</f>
        <v>34807.5</v>
      </c>
      <c r="F106" s="24">
        <f t="shared" ref="F106:F109" si="11">+E106*D106</f>
        <v>104422.5</v>
      </c>
    </row>
    <row r="107" spans="1:8" x14ac:dyDescent="0.25">
      <c r="A107" s="21" t="s">
        <v>397</v>
      </c>
      <c r="B107" s="50" t="s">
        <v>143</v>
      </c>
      <c r="C107" s="33" t="s">
        <v>2</v>
      </c>
      <c r="D107" s="33">
        <v>3</v>
      </c>
      <c r="E107" s="52">
        <f>6500*1.25</f>
        <v>8125</v>
      </c>
      <c r="F107" s="24">
        <f t="shared" si="11"/>
        <v>24375</v>
      </c>
    </row>
    <row r="108" spans="1:8" x14ac:dyDescent="0.25">
      <c r="A108" s="21" t="s">
        <v>45</v>
      </c>
      <c r="B108" s="50" t="s">
        <v>144</v>
      </c>
      <c r="C108" s="33" t="s">
        <v>2</v>
      </c>
      <c r="D108" s="33">
        <v>3</v>
      </c>
      <c r="E108" s="52">
        <f>23751*1.25</f>
        <v>29688.75</v>
      </c>
      <c r="F108" s="24">
        <f t="shared" si="11"/>
        <v>89066.25</v>
      </c>
    </row>
    <row r="109" spans="1:8" x14ac:dyDescent="0.25">
      <c r="A109" s="21" t="s">
        <v>398</v>
      </c>
      <c r="B109" s="50" t="s">
        <v>145</v>
      </c>
      <c r="C109" s="33" t="s">
        <v>2</v>
      </c>
      <c r="D109" s="33">
        <v>3</v>
      </c>
      <c r="E109" s="52">
        <f>45864*1.25</f>
        <v>57330</v>
      </c>
      <c r="F109" s="24">
        <f t="shared" si="11"/>
        <v>171990</v>
      </c>
    </row>
    <row r="110" spans="1:8" x14ac:dyDescent="0.25">
      <c r="A110" s="72"/>
      <c r="B110" s="77" t="s">
        <v>146</v>
      </c>
      <c r="C110" s="73"/>
      <c r="D110" s="74"/>
      <c r="E110" s="75"/>
      <c r="F110" s="76">
        <f>F109+F108+F107+F106+F104+F103+F101+F100+F99+F98+F97+F96+F94+F92+F91+F90+F89+F88+F87+F86</f>
        <v>7991926.9249999998</v>
      </c>
    </row>
    <row r="111" spans="1:8" x14ac:dyDescent="0.25">
      <c r="A111" s="19" t="s">
        <v>147</v>
      </c>
      <c r="B111" s="297" t="s">
        <v>155</v>
      </c>
      <c r="C111" s="297" t="s">
        <v>22</v>
      </c>
      <c r="D111" s="297"/>
      <c r="E111" s="297"/>
      <c r="F111" s="297"/>
    </row>
    <row r="112" spans="1:8" x14ac:dyDescent="0.25">
      <c r="A112" s="86" t="s">
        <v>148</v>
      </c>
      <c r="B112" s="34" t="s">
        <v>158</v>
      </c>
      <c r="C112" s="28" t="s">
        <v>159</v>
      </c>
      <c r="D112" s="23">
        <f>200</f>
        <v>200</v>
      </c>
      <c r="E112" s="35">
        <f>21200*1.25</f>
        <v>26500</v>
      </c>
      <c r="F112" s="24">
        <f t="shared" ref="F112:F114" si="12">+E112*D112</f>
        <v>5300000</v>
      </c>
      <c r="G112" s="56"/>
      <c r="H112" s="56"/>
    </row>
    <row r="113" spans="1:8" x14ac:dyDescent="0.25">
      <c r="A113" s="86" t="s">
        <v>149</v>
      </c>
      <c r="B113" s="22" t="s">
        <v>164</v>
      </c>
      <c r="C113" s="33" t="s">
        <v>2</v>
      </c>
      <c r="D113" s="23">
        <v>1</v>
      </c>
      <c r="E113" s="24">
        <f>5145000</f>
        <v>5145000</v>
      </c>
      <c r="F113" s="24">
        <f t="shared" si="12"/>
        <v>5145000</v>
      </c>
      <c r="G113" s="56"/>
      <c r="H113" s="56"/>
    </row>
    <row r="114" spans="1:8" x14ac:dyDescent="0.25">
      <c r="A114" s="86" t="s">
        <v>150</v>
      </c>
      <c r="B114" s="22" t="s">
        <v>169</v>
      </c>
      <c r="C114" s="33" t="s">
        <v>2</v>
      </c>
      <c r="D114" s="32">
        <v>8</v>
      </c>
      <c r="E114" s="24">
        <f>95000*1.25</f>
        <v>118750</v>
      </c>
      <c r="F114" s="24">
        <f t="shared" si="12"/>
        <v>950000</v>
      </c>
      <c r="G114" s="56"/>
      <c r="H114" s="56"/>
    </row>
    <row r="115" spans="1:8" x14ac:dyDescent="0.25">
      <c r="A115" s="86" t="s">
        <v>151</v>
      </c>
      <c r="B115" s="22" t="s">
        <v>63</v>
      </c>
      <c r="C115" s="33" t="s">
        <v>2</v>
      </c>
      <c r="D115" s="32">
        <v>1</v>
      </c>
      <c r="E115" s="24">
        <f>258300*1.25</f>
        <v>322875</v>
      </c>
      <c r="F115" s="24">
        <f>+E115</f>
        <v>322875</v>
      </c>
      <c r="G115" s="56"/>
      <c r="H115" s="56"/>
    </row>
    <row r="116" spans="1:8" ht="15.75" thickBot="1" x14ac:dyDescent="0.3">
      <c r="A116" s="83"/>
      <c r="B116" s="77" t="s">
        <v>171</v>
      </c>
      <c r="C116" s="77"/>
      <c r="D116" s="84"/>
      <c r="E116" s="77"/>
      <c r="F116" s="85">
        <f>F115+F114+F113+F112</f>
        <v>11717875</v>
      </c>
      <c r="H116" s="114"/>
    </row>
    <row r="117" spans="1:8" x14ac:dyDescent="0.25">
      <c r="A117" s="1"/>
      <c r="B117" s="132" t="s">
        <v>280</v>
      </c>
      <c r="C117" s="133"/>
      <c r="D117" s="133"/>
      <c r="E117" s="133"/>
      <c r="F117" s="146">
        <f>F116+F110+F83+F54+F16</f>
        <v>112102188.295</v>
      </c>
      <c r="G117">
        <f>F117/200</f>
        <v>560510.941475</v>
      </c>
    </row>
    <row r="118" spans="1:8" x14ac:dyDescent="0.25">
      <c r="A118" s="1"/>
      <c r="B118" s="144" t="s">
        <v>281</v>
      </c>
      <c r="C118" s="145"/>
      <c r="D118" s="145"/>
      <c r="E118" s="145"/>
      <c r="F118" s="153">
        <f>F117*0.01</f>
        <v>1121021.88295</v>
      </c>
    </row>
    <row r="119" spans="1:8" x14ac:dyDescent="0.25">
      <c r="A119" s="1"/>
      <c r="B119" s="135" t="s">
        <v>36</v>
      </c>
      <c r="C119" s="136"/>
      <c r="D119" s="136"/>
      <c r="E119" s="136"/>
      <c r="F119" s="137">
        <f>F117*0.18</f>
        <v>20178393.893100001</v>
      </c>
    </row>
    <row r="120" spans="1:8" ht="15.75" thickBot="1" x14ac:dyDescent="0.3">
      <c r="B120" s="140" t="s">
        <v>287</v>
      </c>
      <c r="C120" s="141"/>
      <c r="D120" s="142"/>
      <c r="E120" s="142"/>
      <c r="F120" s="143">
        <f>F119+F118+F117</f>
        <v>133401604.07105</v>
      </c>
    </row>
    <row r="122" spans="1:8" ht="34.15" customHeight="1" x14ac:dyDescent="0.25">
      <c r="B122" s="277" t="s">
        <v>399</v>
      </c>
      <c r="C122" s="277"/>
      <c r="D122" s="277"/>
      <c r="E122" s="277"/>
      <c r="F122" s="277"/>
    </row>
    <row r="124" spans="1:8" ht="15.75" x14ac:dyDescent="0.25">
      <c r="B124" s="111" t="s">
        <v>386</v>
      </c>
    </row>
    <row r="126" spans="1:8" ht="15.75" x14ac:dyDescent="0.25">
      <c r="B126" s="113" t="s">
        <v>292</v>
      </c>
    </row>
    <row r="128" spans="1:8" ht="15.75" x14ac:dyDescent="0.25">
      <c r="B128" s="112" t="s">
        <v>293</v>
      </c>
    </row>
  </sheetData>
  <mergeCells count="20">
    <mergeCell ref="B84:F84"/>
    <mergeCell ref="B85:F85"/>
    <mergeCell ref="B13:D13"/>
    <mergeCell ref="B17:F17"/>
    <mergeCell ref="B18:F18"/>
    <mergeCell ref="B27:F27"/>
    <mergeCell ref="B122:F122"/>
    <mergeCell ref="K92:L92"/>
    <mergeCell ref="B93:F93"/>
    <mergeCell ref="B95:F95"/>
    <mergeCell ref="B102:F102"/>
    <mergeCell ref="B105:F105"/>
    <mergeCell ref="B111:F111"/>
    <mergeCell ref="B32:F32"/>
    <mergeCell ref="B39:F39"/>
    <mergeCell ref="B47:F47"/>
    <mergeCell ref="B55:F55"/>
    <mergeCell ref="A3:F3"/>
    <mergeCell ref="A7:B7"/>
    <mergeCell ref="A5:F5"/>
  </mergeCells>
  <phoneticPr fontId="20" type="noConversion"/>
  <pageMargins left="0.70866141732283472" right="0.70866141732283472" top="1.2150000000000001" bottom="0.84375" header="0.31496062992125984" footer="0.31496062992125984"/>
  <pageSetup paperSize="9" scale="81" orientation="portrait" r:id="rId1"/>
  <headerFooter>
    <oddHeader>&amp;L&amp;G</oddHeader>
    <oddFooter>&amp;C&amp;G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4DE7E-EFE2-4288-8A21-AC67EF7A1110}">
  <sheetPr codeName="Feuil8"/>
  <dimension ref="A2:L100"/>
  <sheetViews>
    <sheetView view="pageBreakPreview" zoomScaleNormal="100" zoomScaleSheetLayoutView="100" workbookViewId="0">
      <selection activeCell="G56" sqref="G56"/>
    </sheetView>
  </sheetViews>
  <sheetFormatPr baseColWidth="10" defaultColWidth="11.5703125" defaultRowHeight="15" x14ac:dyDescent="0.25"/>
  <cols>
    <col min="1" max="1" width="5.85546875" style="2" customWidth="1"/>
    <col min="2" max="2" width="61.28515625" style="1" customWidth="1"/>
    <col min="3" max="3" width="5.7109375" style="3" customWidth="1"/>
    <col min="4" max="4" width="9.140625" style="42" customWidth="1"/>
    <col min="5" max="5" width="11.5703125" style="2"/>
    <col min="6" max="6" width="14.5703125" style="2" customWidth="1"/>
    <col min="7" max="7" width="12.85546875" bestFit="1" customWidth="1"/>
    <col min="8" max="8" width="42.7109375" bestFit="1" customWidth="1"/>
  </cols>
  <sheetData>
    <row r="2" spans="1:6" ht="42" customHeight="1" x14ac:dyDescent="0.3">
      <c r="B2" s="283" t="s">
        <v>385</v>
      </c>
      <c r="C2" s="283"/>
      <c r="D2" s="283"/>
      <c r="E2" s="283"/>
      <c r="F2" s="283"/>
    </row>
    <row r="4" spans="1:6" ht="18" x14ac:dyDescent="0.25">
      <c r="B4" s="298" t="s">
        <v>275</v>
      </c>
      <c r="C4" s="299"/>
      <c r="D4" s="299"/>
      <c r="E4" s="299"/>
      <c r="F4" s="299"/>
    </row>
    <row r="7" spans="1:6" ht="15" customHeight="1" x14ac:dyDescent="0.25">
      <c r="A7" s="300" t="s">
        <v>387</v>
      </c>
      <c r="B7" s="300"/>
    </row>
    <row r="11" spans="1:6" ht="12.6" customHeight="1" x14ac:dyDescent="0.25"/>
    <row r="12" spans="1:6" x14ac:dyDescent="0.25">
      <c r="A12" s="15" t="s">
        <v>0</v>
      </c>
      <c r="B12" s="16" t="s">
        <v>1</v>
      </c>
      <c r="C12" s="17" t="s">
        <v>272</v>
      </c>
      <c r="D12" s="18" t="s">
        <v>273</v>
      </c>
      <c r="E12" s="17" t="s">
        <v>274</v>
      </c>
      <c r="F12" s="17" t="s">
        <v>271</v>
      </c>
    </row>
    <row r="13" spans="1:6" x14ac:dyDescent="0.25">
      <c r="A13" s="19" t="s">
        <v>39</v>
      </c>
      <c r="B13" s="297" t="s">
        <v>49</v>
      </c>
      <c r="C13" s="297"/>
      <c r="D13" s="297"/>
      <c r="E13" s="20"/>
      <c r="F13" s="20"/>
    </row>
    <row r="14" spans="1:6" x14ac:dyDescent="0.25">
      <c r="A14" s="21" t="s">
        <v>37</v>
      </c>
      <c r="B14" s="22" t="s">
        <v>3</v>
      </c>
      <c r="C14" s="21" t="s">
        <v>4</v>
      </c>
      <c r="D14" s="23">
        <v>1</v>
      </c>
      <c r="E14" s="24"/>
      <c r="F14" s="24">
        <f>+E14*D14</f>
        <v>0</v>
      </c>
    </row>
    <row r="15" spans="1:6" x14ac:dyDescent="0.25">
      <c r="A15" s="21" t="s">
        <v>38</v>
      </c>
      <c r="B15" s="22" t="s">
        <v>72</v>
      </c>
      <c r="C15" s="21" t="s">
        <v>4</v>
      </c>
      <c r="D15" s="23">
        <v>1</v>
      </c>
      <c r="E15" s="35"/>
      <c r="F15" s="24">
        <f>+E15*D15</f>
        <v>0</v>
      </c>
    </row>
    <row r="16" spans="1:6" x14ac:dyDescent="0.25">
      <c r="A16" s="72"/>
      <c r="B16" s="77" t="s">
        <v>322</v>
      </c>
      <c r="C16" s="73"/>
      <c r="D16" s="74"/>
      <c r="E16" s="75"/>
      <c r="F16" s="76">
        <f>SUM(F14:F15)</f>
        <v>0</v>
      </c>
    </row>
    <row r="17" spans="1:8" x14ac:dyDescent="0.25">
      <c r="A17" s="19" t="s">
        <v>5</v>
      </c>
      <c r="B17" s="297" t="s">
        <v>276</v>
      </c>
      <c r="C17" s="297"/>
      <c r="D17" s="297"/>
      <c r="E17" s="297"/>
      <c r="F17" s="297"/>
    </row>
    <row r="18" spans="1:8" x14ac:dyDescent="0.25">
      <c r="A18" s="26" t="s">
        <v>5</v>
      </c>
      <c r="B18" s="294" t="s">
        <v>73</v>
      </c>
      <c r="C18" s="295"/>
      <c r="D18" s="295"/>
      <c r="E18" s="295"/>
      <c r="F18" s="296"/>
    </row>
    <row r="19" spans="1:8" x14ac:dyDescent="0.25">
      <c r="A19" s="21" t="s">
        <v>6</v>
      </c>
      <c r="B19" s="27" t="s">
        <v>345</v>
      </c>
      <c r="C19" s="28" t="s">
        <v>296</v>
      </c>
      <c r="D19" s="23">
        <f>((42.3*0.6*0.55)+(0.6*0.6*0.2)*18)</f>
        <v>15.255000000000001</v>
      </c>
      <c r="E19" s="24">
        <f>11000*1.25</f>
        <v>13750</v>
      </c>
      <c r="F19" s="24">
        <f>+E19*D19</f>
        <v>209756.25</v>
      </c>
    </row>
    <row r="20" spans="1:8" x14ac:dyDescent="0.25">
      <c r="A20" s="21" t="s">
        <v>8</v>
      </c>
      <c r="B20" s="27" t="s">
        <v>75</v>
      </c>
      <c r="C20" s="28" t="s">
        <v>296</v>
      </c>
      <c r="D20" s="23">
        <f>42.3*0.6*0.05</f>
        <v>1.2690000000000001</v>
      </c>
      <c r="E20" s="24">
        <f>182000*1.25</f>
        <v>227500</v>
      </c>
      <c r="F20" s="24">
        <f t="shared" ref="F20:F26" si="0">+E20*D20</f>
        <v>288697.5</v>
      </c>
      <c r="H20" t="s">
        <v>175</v>
      </c>
    </row>
    <row r="21" spans="1:8" x14ac:dyDescent="0.25">
      <c r="A21" s="21" t="s">
        <v>9</v>
      </c>
      <c r="B21" s="27" t="s">
        <v>359</v>
      </c>
      <c r="C21" s="28" t="s">
        <v>296</v>
      </c>
      <c r="D21" s="23">
        <f>(42.3*0.6*0.1)+(0.6*0.6*0.2*18)</f>
        <v>3.8340000000000001</v>
      </c>
      <c r="E21" s="24">
        <v>350000</v>
      </c>
      <c r="F21" s="24">
        <f t="shared" si="0"/>
        <v>1341900</v>
      </c>
      <c r="H21" t="s">
        <v>175</v>
      </c>
    </row>
    <row r="22" spans="1:8" x14ac:dyDescent="0.25">
      <c r="A22" s="21" t="s">
        <v>10</v>
      </c>
      <c r="B22" s="27" t="s">
        <v>77</v>
      </c>
      <c r="C22" s="28" t="s">
        <v>296</v>
      </c>
      <c r="D22" s="23">
        <f>0.15*0.15*1*18</f>
        <v>0.40499999999999997</v>
      </c>
      <c r="E22" s="24">
        <v>350000</v>
      </c>
      <c r="F22" s="24">
        <f t="shared" si="0"/>
        <v>141750</v>
      </c>
      <c r="H22" t="s">
        <v>175</v>
      </c>
    </row>
    <row r="23" spans="1:8" x14ac:dyDescent="0.25">
      <c r="A23" s="21" t="s">
        <v>11</v>
      </c>
      <c r="B23" s="27" t="s">
        <v>78</v>
      </c>
      <c r="C23" s="28" t="s">
        <v>296</v>
      </c>
      <c r="D23" s="23">
        <f>42.3*0.2*0.2</f>
        <v>1.6919999999999999</v>
      </c>
      <c r="E23" s="24">
        <v>350000</v>
      </c>
      <c r="F23" s="24">
        <f t="shared" si="0"/>
        <v>592200</v>
      </c>
      <c r="H23" t="s">
        <v>175</v>
      </c>
    </row>
    <row r="24" spans="1:8" x14ac:dyDescent="0.25">
      <c r="A24" s="21" t="s">
        <v>12</v>
      </c>
      <c r="B24" s="27" t="s">
        <v>79</v>
      </c>
      <c r="C24" s="28" t="s">
        <v>61</v>
      </c>
      <c r="D24" s="23">
        <f>42.3*0.65</f>
        <v>27.494999999999997</v>
      </c>
      <c r="E24" s="24">
        <f>29900</f>
        <v>29900</v>
      </c>
      <c r="F24" s="24">
        <f t="shared" si="0"/>
        <v>822100.49999999988</v>
      </c>
    </row>
    <row r="25" spans="1:8" x14ac:dyDescent="0.25">
      <c r="A25" s="21" t="s">
        <v>70</v>
      </c>
      <c r="B25" s="27" t="s">
        <v>80</v>
      </c>
      <c r="C25" s="28" t="s">
        <v>296</v>
      </c>
      <c r="D25" s="68">
        <f>12.85*4.15*0.15</f>
        <v>7.9991249999999994</v>
      </c>
      <c r="E25" s="24">
        <f>19000*1.25</f>
        <v>23750</v>
      </c>
      <c r="F25" s="24">
        <f t="shared" si="0"/>
        <v>189979.21874999997</v>
      </c>
    </row>
    <row r="26" spans="1:8" x14ac:dyDescent="0.25">
      <c r="A26" s="21" t="s">
        <v>13</v>
      </c>
      <c r="B26" s="27" t="s">
        <v>323</v>
      </c>
      <c r="C26" s="28" t="s">
        <v>296</v>
      </c>
      <c r="D26" s="68">
        <f>D25*0.13</f>
        <v>1.0398862499999999</v>
      </c>
      <c r="E26" s="35">
        <v>350000</v>
      </c>
      <c r="F26" s="24">
        <f t="shared" si="0"/>
        <v>363960.18749999994</v>
      </c>
    </row>
    <row r="27" spans="1:8" x14ac:dyDescent="0.25">
      <c r="A27" s="26" t="s">
        <v>15</v>
      </c>
      <c r="B27" s="294" t="s">
        <v>82</v>
      </c>
      <c r="C27" s="295"/>
      <c r="D27" s="295"/>
      <c r="E27" s="295"/>
      <c r="F27" s="296"/>
    </row>
    <row r="28" spans="1:8" x14ac:dyDescent="0.25">
      <c r="A28" s="21" t="s">
        <v>16</v>
      </c>
      <c r="B28" s="29" t="s">
        <v>83</v>
      </c>
      <c r="C28" s="28" t="s">
        <v>297</v>
      </c>
      <c r="D28" s="23">
        <f>54.25*2.5</f>
        <v>135.625</v>
      </c>
      <c r="E28" s="24">
        <f>27690</f>
        <v>27690</v>
      </c>
      <c r="F28" s="24">
        <f t="shared" ref="F28:F36" si="1">+E28*D28</f>
        <v>3755456.25</v>
      </c>
      <c r="H28" t="s">
        <v>175</v>
      </c>
    </row>
    <row r="29" spans="1:8" x14ac:dyDescent="0.25">
      <c r="A29" s="21" t="s">
        <v>17</v>
      </c>
      <c r="B29" s="29" t="s">
        <v>50</v>
      </c>
      <c r="C29" s="28" t="s">
        <v>296</v>
      </c>
      <c r="D29" s="23">
        <f>0.15*0.15*2.5*18</f>
        <v>1.0125</v>
      </c>
      <c r="E29" s="24">
        <f>E21</f>
        <v>350000</v>
      </c>
      <c r="F29" s="24">
        <f t="shared" si="1"/>
        <v>354375</v>
      </c>
      <c r="H29" t="s">
        <v>175</v>
      </c>
    </row>
    <row r="30" spans="1:8" x14ac:dyDescent="0.25">
      <c r="A30" s="21" t="s">
        <v>18</v>
      </c>
      <c r="B30" s="29" t="s">
        <v>51</v>
      </c>
      <c r="C30" s="28" t="s">
        <v>296</v>
      </c>
      <c r="D30" s="23">
        <f>((0.2+0.6+0.2)*8+(0.2+2+0.2)*8+(0.2+2+0.2))*0.2*0.2</f>
        <v>1.1840000000000002</v>
      </c>
      <c r="E30" s="24">
        <f>E22</f>
        <v>350000</v>
      </c>
      <c r="F30" s="24">
        <f t="shared" si="1"/>
        <v>414400.00000000006</v>
      </c>
      <c r="H30" t="s">
        <v>175</v>
      </c>
    </row>
    <row r="31" spans="1:8" x14ac:dyDescent="0.25">
      <c r="A31" s="21" t="s">
        <v>19</v>
      </c>
      <c r="B31" s="29" t="s">
        <v>52</v>
      </c>
      <c r="C31" s="28" t="s">
        <v>296</v>
      </c>
      <c r="D31" s="23">
        <f>54.25*0.2*0.2</f>
        <v>2.1700000000000004</v>
      </c>
      <c r="E31" s="24">
        <f>E23</f>
        <v>350000</v>
      </c>
      <c r="F31" s="24">
        <f t="shared" si="1"/>
        <v>759500.00000000012</v>
      </c>
      <c r="H31" t="s">
        <v>175</v>
      </c>
    </row>
    <row r="32" spans="1:8" x14ac:dyDescent="0.25">
      <c r="A32" s="26" t="s">
        <v>40</v>
      </c>
      <c r="B32" s="294" t="s">
        <v>84</v>
      </c>
      <c r="C32" s="295"/>
      <c r="D32" s="295"/>
      <c r="E32" s="295"/>
      <c r="F32" s="296">
        <f t="shared" si="1"/>
        <v>0</v>
      </c>
    </row>
    <row r="33" spans="1:12" x14ac:dyDescent="0.25">
      <c r="A33" s="21" t="s">
        <v>20</v>
      </c>
      <c r="B33" s="29" t="s">
        <v>53</v>
      </c>
      <c r="C33" s="28" t="s">
        <v>297</v>
      </c>
      <c r="D33" s="68">
        <f>12.85*4.15</f>
        <v>53.327500000000001</v>
      </c>
      <c r="E33" s="24">
        <v>16500</v>
      </c>
      <c r="F33" s="24">
        <f t="shared" si="1"/>
        <v>879903.75</v>
      </c>
    </row>
    <row r="34" spans="1:12" x14ac:dyDescent="0.25">
      <c r="A34" s="21" t="s">
        <v>21</v>
      </c>
      <c r="B34" s="29" t="s">
        <v>65</v>
      </c>
      <c r="C34" s="28" t="s">
        <v>297</v>
      </c>
      <c r="D34" s="68">
        <f>D33</f>
        <v>53.327500000000001</v>
      </c>
      <c r="E34" s="24">
        <f>25740</f>
        <v>25740</v>
      </c>
      <c r="F34" s="24">
        <f t="shared" si="1"/>
        <v>1372649.85</v>
      </c>
      <c r="L34" s="43">
        <v>1.35</v>
      </c>
    </row>
    <row r="35" spans="1:12" x14ac:dyDescent="0.25">
      <c r="A35" s="21" t="s">
        <v>23</v>
      </c>
      <c r="B35" s="29" t="s">
        <v>54</v>
      </c>
      <c r="C35" s="28" t="s">
        <v>14</v>
      </c>
      <c r="D35" s="68">
        <f>(14.35+6.05)*2</f>
        <v>40.799999999999997</v>
      </c>
      <c r="E35" s="24">
        <f>6864*1.25</f>
        <v>8580</v>
      </c>
      <c r="F35" s="24">
        <f t="shared" si="1"/>
        <v>350064</v>
      </c>
      <c r="H35">
        <f>12500/4</f>
        <v>3125</v>
      </c>
      <c r="I35">
        <f>(75000/30)*0.4</f>
        <v>1000</v>
      </c>
      <c r="J35">
        <f>3500</f>
        <v>3500</v>
      </c>
      <c r="K35">
        <f>H35+I35+J35</f>
        <v>7625</v>
      </c>
      <c r="L35" s="44">
        <f>K35*$L$34</f>
        <v>10293.75</v>
      </c>
    </row>
    <row r="36" spans="1:12" x14ac:dyDescent="0.25">
      <c r="A36" s="21" t="s">
        <v>46</v>
      </c>
      <c r="B36" s="29" t="s">
        <v>55</v>
      </c>
      <c r="C36" s="28" t="s">
        <v>35</v>
      </c>
      <c r="D36" s="68">
        <f>(12.45-2*0.15)*(4.15-2*0.15)+(14.35*0.8)*2+(6.05*0.8)*2</f>
        <v>79.417500000000018</v>
      </c>
      <c r="E36" s="24">
        <f>16000*1.5</f>
        <v>24000</v>
      </c>
      <c r="F36" s="24">
        <f t="shared" si="1"/>
        <v>1906020.0000000005</v>
      </c>
    </row>
    <row r="37" spans="1:12" x14ac:dyDescent="0.25">
      <c r="A37" s="21" t="s">
        <v>47</v>
      </c>
      <c r="B37" s="29" t="s">
        <v>56</v>
      </c>
      <c r="C37" s="28" t="s">
        <v>14</v>
      </c>
      <c r="D37" s="68">
        <f>(14.35*2)+(6.05*2)+(4*3)</f>
        <v>52.8</v>
      </c>
      <c r="E37" s="35">
        <f>(7500+21000)</f>
        <v>28500</v>
      </c>
      <c r="F37" s="24">
        <f>+E37*D37</f>
        <v>1504800</v>
      </c>
      <c r="I37" t="s">
        <v>179</v>
      </c>
      <c r="J37" t="s">
        <v>180</v>
      </c>
    </row>
    <row r="38" spans="1:12" x14ac:dyDescent="0.25">
      <c r="A38" s="26" t="s">
        <v>41</v>
      </c>
      <c r="B38" s="294" t="s">
        <v>85</v>
      </c>
      <c r="C38" s="295"/>
      <c r="D38" s="295"/>
      <c r="E38" s="295"/>
      <c r="F38" s="296"/>
    </row>
    <row r="39" spans="1:12" x14ac:dyDescent="0.25">
      <c r="A39" s="21" t="s">
        <v>42</v>
      </c>
      <c r="B39" s="27" t="s">
        <v>252</v>
      </c>
      <c r="C39" s="28" t="s">
        <v>297</v>
      </c>
      <c r="D39" s="23">
        <f>(30.66*2.5)-(0.6*0.6)*8-(2*1)+(12.45+2)*2*2.5-(0.7*2)*8+(1.7+1.1)*2*0.5</f>
        <v>135.62000000000003</v>
      </c>
      <c r="E39" s="24">
        <v>9150</v>
      </c>
      <c r="F39" s="24">
        <f>+E39*D39</f>
        <v>1240923.0000000002</v>
      </c>
      <c r="H39" t="s">
        <v>173</v>
      </c>
    </row>
    <row r="40" spans="1:12" x14ac:dyDescent="0.25">
      <c r="A40" s="21" t="s">
        <v>43</v>
      </c>
      <c r="B40" s="27" t="s">
        <v>253</v>
      </c>
      <c r="C40" s="28" t="s">
        <v>297</v>
      </c>
      <c r="D40" s="23">
        <f>D36</f>
        <v>79.417500000000018</v>
      </c>
      <c r="E40" s="24">
        <v>9750</v>
      </c>
      <c r="F40" s="24">
        <f>+E40*D40</f>
        <v>774320.62500000023</v>
      </c>
    </row>
    <row r="41" spans="1:12" x14ac:dyDescent="0.25">
      <c r="A41" s="21" t="s">
        <v>44</v>
      </c>
      <c r="B41" s="29" t="s">
        <v>87</v>
      </c>
      <c r="C41" s="28" t="s">
        <v>297</v>
      </c>
      <c r="D41" s="23">
        <f>(1.1*1.7)*8+(2*12.45)+(2*2.54)</f>
        <v>44.94</v>
      </c>
      <c r="E41" s="24">
        <v>35000</v>
      </c>
      <c r="F41" s="24">
        <f>+E41*D41</f>
        <v>1572900</v>
      </c>
      <c r="H41" t="s">
        <v>173</v>
      </c>
    </row>
    <row r="42" spans="1:12" x14ac:dyDescent="0.25">
      <c r="A42" s="21" t="s">
        <v>58</v>
      </c>
      <c r="B42" s="29" t="s">
        <v>62</v>
      </c>
      <c r="C42" s="28" t="s">
        <v>297</v>
      </c>
      <c r="D42" s="23">
        <f>(1.1*2*2+1.7*2*2)*8-(2*0.7)*8-(0.6*0.6)*8</f>
        <v>75.52</v>
      </c>
      <c r="E42" s="24">
        <f>26558*1.25</f>
        <v>33197.5</v>
      </c>
      <c r="F42" s="24">
        <f>+E42*D42</f>
        <v>2507075.1999999997</v>
      </c>
      <c r="H42" t="s">
        <v>173</v>
      </c>
    </row>
    <row r="43" spans="1:12" x14ac:dyDescent="0.25">
      <c r="A43" s="15" t="s">
        <v>59</v>
      </c>
      <c r="B43" s="294" t="s">
        <v>262</v>
      </c>
      <c r="C43" s="295"/>
      <c r="D43" s="295"/>
      <c r="E43" s="295"/>
      <c r="F43" s="296"/>
    </row>
    <row r="44" spans="1:12" x14ac:dyDescent="0.25">
      <c r="A44" s="15" t="s">
        <v>60</v>
      </c>
      <c r="B44" s="27" t="s">
        <v>326</v>
      </c>
      <c r="C44" s="31" t="s">
        <v>2</v>
      </c>
      <c r="D44" s="32">
        <f>8</f>
        <v>8</v>
      </c>
      <c r="E44" s="35">
        <v>220500</v>
      </c>
      <c r="F44" s="24">
        <f>+E44*D44</f>
        <v>1764000</v>
      </c>
    </row>
    <row r="45" spans="1:12" x14ac:dyDescent="0.25">
      <c r="A45" s="15"/>
      <c r="B45" s="27" t="s">
        <v>327</v>
      </c>
      <c r="C45" s="31" t="s">
        <v>2</v>
      </c>
      <c r="D45" s="32">
        <v>1</v>
      </c>
      <c r="E45" s="35">
        <f>340000</f>
        <v>340000</v>
      </c>
      <c r="F45" s="24">
        <f>D45*E45</f>
        <v>340000</v>
      </c>
    </row>
    <row r="46" spans="1:12" x14ac:dyDescent="0.25">
      <c r="A46" s="15" t="s">
        <v>174</v>
      </c>
      <c r="B46" s="29" t="s">
        <v>325</v>
      </c>
      <c r="C46" s="31" t="s">
        <v>2</v>
      </c>
      <c r="D46" s="32">
        <f>8</f>
        <v>8</v>
      </c>
      <c r="E46" s="35">
        <v>150000</v>
      </c>
      <c r="F46" s="24">
        <f t="shared" ref="F46" si="2">+E46*D46</f>
        <v>1200000</v>
      </c>
    </row>
    <row r="47" spans="1:12" x14ac:dyDescent="0.25">
      <c r="A47" s="72"/>
      <c r="B47" s="77" t="s">
        <v>277</v>
      </c>
      <c r="C47" s="73"/>
      <c r="D47" s="74"/>
      <c r="E47" s="75"/>
      <c r="F47" s="76">
        <f>F46+F44+F42+F41+F40+F39+F37+F36+F35+F34+F33+F31+F30+F29+F28+F26+F25+F24+F23+F22+F21+F20+F19+F45</f>
        <v>24646731.331249997</v>
      </c>
    </row>
    <row r="48" spans="1:12" x14ac:dyDescent="0.25">
      <c r="A48" s="19" t="s">
        <v>24</v>
      </c>
      <c r="B48" s="297" t="s">
        <v>89</v>
      </c>
      <c r="C48" s="297"/>
      <c r="D48" s="297"/>
      <c r="E48" s="297"/>
      <c r="F48" s="297"/>
    </row>
    <row r="49" spans="1:10" x14ac:dyDescent="0.25">
      <c r="A49" s="26" t="s">
        <v>24</v>
      </c>
      <c r="B49" s="294" t="s">
        <v>90</v>
      </c>
      <c r="C49" s="295"/>
      <c r="D49" s="295"/>
      <c r="E49" s="295"/>
      <c r="F49" s="296"/>
    </row>
    <row r="50" spans="1:10" x14ac:dyDescent="0.25">
      <c r="A50" s="118" t="s">
        <v>25</v>
      </c>
      <c r="B50" s="30" t="s">
        <v>187</v>
      </c>
      <c r="C50" s="31" t="s">
        <v>188</v>
      </c>
      <c r="D50" s="46">
        <v>1</v>
      </c>
      <c r="E50" s="47">
        <v>650000</v>
      </c>
      <c r="F50" s="24">
        <f t="shared" ref="F50:F60" si="3">+E50*D50</f>
        <v>650000</v>
      </c>
      <c r="H50">
        <f>I50*47%</f>
        <v>7899521.55930625</v>
      </c>
      <c r="I50">
        <v>16807492.679375</v>
      </c>
      <c r="J50" s="39" t="e">
        <f>SUM(F54:F60,#REF!,#REF!,#REF!,#REF!,#REF!,#REF!,#REF!)</f>
        <v>#REF!</v>
      </c>
    </row>
    <row r="51" spans="1:10" x14ac:dyDescent="0.25">
      <c r="A51" s="118" t="s">
        <v>26</v>
      </c>
      <c r="B51" s="30" t="s">
        <v>190</v>
      </c>
      <c r="C51" s="31" t="s">
        <v>188</v>
      </c>
      <c r="D51" s="46">
        <v>1</v>
      </c>
      <c r="E51" s="47">
        <v>650000</v>
      </c>
      <c r="F51" s="24">
        <f t="shared" si="3"/>
        <v>650000</v>
      </c>
    </row>
    <row r="52" spans="1:10" x14ac:dyDescent="0.25">
      <c r="A52" s="118" t="s">
        <v>27</v>
      </c>
      <c r="B52" s="30" t="s">
        <v>191</v>
      </c>
      <c r="C52" s="31" t="s">
        <v>188</v>
      </c>
      <c r="D52" s="46">
        <v>1</v>
      </c>
      <c r="E52" s="47">
        <v>780000</v>
      </c>
      <c r="F52" s="24">
        <f t="shared" si="3"/>
        <v>780000</v>
      </c>
    </row>
    <row r="53" spans="1:10" x14ac:dyDescent="0.25">
      <c r="A53" s="118" t="s">
        <v>66</v>
      </c>
      <c r="B53" s="30" t="s">
        <v>198</v>
      </c>
      <c r="C53" s="31" t="s">
        <v>188</v>
      </c>
      <c r="D53" s="46">
        <v>1</v>
      </c>
      <c r="E53" s="47">
        <f>MROUND(10%*$H$50,5000)</f>
        <v>790000</v>
      </c>
      <c r="F53" s="24">
        <f t="shared" si="3"/>
        <v>790000</v>
      </c>
    </row>
    <row r="54" spans="1:10" x14ac:dyDescent="0.25">
      <c r="A54" s="118" t="s">
        <v>67</v>
      </c>
      <c r="B54" s="45" t="s">
        <v>91</v>
      </c>
      <c r="C54" s="31" t="s">
        <v>2</v>
      </c>
      <c r="D54" s="46">
        <v>1</v>
      </c>
      <c r="E54" s="47">
        <v>80200</v>
      </c>
      <c r="F54" s="24">
        <f t="shared" si="3"/>
        <v>80200</v>
      </c>
      <c r="H54" s="43">
        <f>15126</f>
        <v>15126</v>
      </c>
    </row>
    <row r="55" spans="1:10" x14ac:dyDescent="0.25">
      <c r="A55" s="118" t="s">
        <v>96</v>
      </c>
      <c r="B55" s="45" t="s">
        <v>92</v>
      </c>
      <c r="C55" s="31" t="s">
        <v>2</v>
      </c>
      <c r="D55" s="46">
        <v>1</v>
      </c>
      <c r="E55" s="47">
        <f>H55*1.6</f>
        <v>2096</v>
      </c>
      <c r="F55" s="24">
        <f t="shared" si="3"/>
        <v>2096</v>
      </c>
      <c r="H55">
        <f>2*655</f>
        <v>1310</v>
      </c>
    </row>
    <row r="56" spans="1:10" x14ac:dyDescent="0.25">
      <c r="A56" s="118" t="s">
        <v>99</v>
      </c>
      <c r="B56" s="45" t="s">
        <v>93</v>
      </c>
      <c r="C56" s="31" t="s">
        <v>2</v>
      </c>
      <c r="D56" s="46">
        <v>1</v>
      </c>
      <c r="E56" s="47">
        <f>32000*1.25</f>
        <v>40000</v>
      </c>
      <c r="F56" s="24">
        <f t="shared" si="3"/>
        <v>40000</v>
      </c>
    </row>
    <row r="57" spans="1:10" ht="12.75" customHeight="1" x14ac:dyDescent="0.25">
      <c r="A57" s="118" t="s">
        <v>360</v>
      </c>
      <c r="B57" s="45" t="s">
        <v>94</v>
      </c>
      <c r="C57" s="31" t="s">
        <v>2</v>
      </c>
      <c r="D57" s="46">
        <v>1</v>
      </c>
      <c r="E57" s="47">
        <f>H57*1.6</f>
        <v>18824</v>
      </c>
      <c r="F57" s="24">
        <f t="shared" si="3"/>
        <v>18824</v>
      </c>
      <c r="H57" s="43">
        <f>11765</f>
        <v>11765</v>
      </c>
    </row>
    <row r="58" spans="1:10" ht="12.75" customHeight="1" x14ac:dyDescent="0.25">
      <c r="A58" s="118" t="s">
        <v>361</v>
      </c>
      <c r="B58" s="45" t="s">
        <v>95</v>
      </c>
      <c r="C58" s="31" t="s">
        <v>2</v>
      </c>
      <c r="D58" s="46">
        <f>15*2</f>
        <v>30</v>
      </c>
      <c r="E58" s="47">
        <f>3275*1.25</f>
        <v>4093.75</v>
      </c>
      <c r="F58" s="24">
        <f t="shared" si="3"/>
        <v>122812.5</v>
      </c>
      <c r="H58">
        <f>5*655</f>
        <v>3275</v>
      </c>
    </row>
    <row r="59" spans="1:10" ht="11.25" customHeight="1" x14ac:dyDescent="0.25">
      <c r="A59" s="118" t="s">
        <v>101</v>
      </c>
      <c r="B59" s="45" t="s">
        <v>97</v>
      </c>
      <c r="C59" s="31" t="s">
        <v>14</v>
      </c>
      <c r="D59" s="46">
        <v>10</v>
      </c>
      <c r="E59" s="47">
        <f>H59*1.6</f>
        <v>6051.2000000000007</v>
      </c>
      <c r="F59" s="24">
        <f t="shared" si="3"/>
        <v>60512.000000000007</v>
      </c>
      <c r="H59" s="43">
        <v>3782</v>
      </c>
    </row>
    <row r="60" spans="1:10" ht="9.75" customHeight="1" x14ac:dyDescent="0.25">
      <c r="A60" s="118" t="s">
        <v>102</v>
      </c>
      <c r="B60" s="45" t="s">
        <v>100</v>
      </c>
      <c r="C60" s="31" t="s">
        <v>14</v>
      </c>
      <c r="D60" s="46">
        <v>10</v>
      </c>
      <c r="E60" s="47">
        <f>H60*1.6</f>
        <v>4000</v>
      </c>
      <c r="F60" s="24">
        <f t="shared" si="3"/>
        <v>40000</v>
      </c>
      <c r="H60" s="43">
        <v>2500</v>
      </c>
    </row>
    <row r="61" spans="1:10" x14ac:dyDescent="0.25">
      <c r="A61" s="72"/>
      <c r="B61" s="77" t="s">
        <v>286</v>
      </c>
      <c r="C61" s="73"/>
      <c r="D61" s="74"/>
      <c r="E61" s="75"/>
      <c r="F61" s="76">
        <f>F60+F59+F58+F57+F56+F55+F54+F53+F52+F51+F50</f>
        <v>3234444.5</v>
      </c>
      <c r="H61" s="39" t="e">
        <f>F61-#REF!-#REF!+#REF!+#REF!</f>
        <v>#REF!</v>
      </c>
    </row>
    <row r="62" spans="1:10" x14ac:dyDescent="0.25">
      <c r="A62" s="19" t="s">
        <v>28</v>
      </c>
      <c r="B62" s="297" t="s">
        <v>122</v>
      </c>
      <c r="C62" s="297"/>
      <c r="D62" s="297"/>
      <c r="E62" s="297"/>
      <c r="F62" s="297"/>
    </row>
    <row r="63" spans="1:10" x14ac:dyDescent="0.25">
      <c r="A63" s="26" t="s">
        <v>28</v>
      </c>
      <c r="B63" s="294" t="s">
        <v>123</v>
      </c>
      <c r="C63" s="295"/>
      <c r="D63" s="295"/>
      <c r="E63" s="295"/>
      <c r="F63" s="296"/>
    </row>
    <row r="64" spans="1:10" x14ac:dyDescent="0.25">
      <c r="A64" s="21" t="s">
        <v>194</v>
      </c>
      <c r="B64" s="30" t="s">
        <v>195</v>
      </c>
      <c r="C64" s="31" t="s">
        <v>188</v>
      </c>
      <c r="D64" s="46">
        <v>1</v>
      </c>
      <c r="E64" s="47">
        <v>670000</v>
      </c>
      <c r="F64" s="24">
        <f t="shared" ref="F64:F69" si="4">+E64*D64</f>
        <v>670000</v>
      </c>
      <c r="H64">
        <f>I64*60%</f>
        <v>4813440.5394827584</v>
      </c>
      <c r="I64">
        <v>8022400.8991379309</v>
      </c>
      <c r="J64" s="39" t="e">
        <f>SUM(F66:F69,#REF!,F70:F74,F76:F77,F79:F82)</f>
        <v>#REF!</v>
      </c>
    </row>
    <row r="65" spans="1:12" x14ac:dyDescent="0.25">
      <c r="A65" s="21" t="s">
        <v>196</v>
      </c>
      <c r="B65" s="30" t="s">
        <v>190</v>
      </c>
      <c r="C65" s="31" t="s">
        <v>188</v>
      </c>
      <c r="D65" s="46">
        <v>1</v>
      </c>
      <c r="E65" s="47">
        <v>980000</v>
      </c>
      <c r="F65" s="24">
        <f t="shared" si="4"/>
        <v>980000</v>
      </c>
    </row>
    <row r="66" spans="1:12" x14ac:dyDescent="0.25">
      <c r="A66" s="21" t="s">
        <v>29</v>
      </c>
      <c r="B66" s="81" t="s">
        <v>124</v>
      </c>
      <c r="C66" s="82" t="s">
        <v>14</v>
      </c>
      <c r="D66" s="48">
        <f>(8*2)+4</f>
        <v>20</v>
      </c>
      <c r="E66" s="54">
        <f>MROUND((H66/5.8)*1.1*1.35,25)</f>
        <v>1925</v>
      </c>
      <c r="F66" s="24">
        <f t="shared" si="4"/>
        <v>38500</v>
      </c>
      <c r="H66">
        <v>7500</v>
      </c>
      <c r="I66" t="s">
        <v>199</v>
      </c>
    </row>
    <row r="67" spans="1:12" x14ac:dyDescent="0.25">
      <c r="A67" s="21" t="s">
        <v>30</v>
      </c>
      <c r="B67" s="81" t="s">
        <v>125</v>
      </c>
      <c r="C67" s="82" t="s">
        <v>14</v>
      </c>
      <c r="D67" s="48">
        <f>6*2.5</f>
        <v>15</v>
      </c>
      <c r="E67" s="54">
        <f>MROUND((H67/5.8)*1.1*1.35,25)</f>
        <v>1675</v>
      </c>
      <c r="F67" s="24">
        <f t="shared" si="4"/>
        <v>25125</v>
      </c>
      <c r="H67">
        <v>6500</v>
      </c>
      <c r="I67" t="s">
        <v>200</v>
      </c>
    </row>
    <row r="68" spans="1:12" x14ac:dyDescent="0.25">
      <c r="A68" s="21" t="s">
        <v>31</v>
      </c>
      <c r="B68" s="81" t="s">
        <v>126</v>
      </c>
      <c r="C68" s="82" t="s">
        <v>14</v>
      </c>
      <c r="D68" s="48">
        <f>12</f>
        <v>12</v>
      </c>
      <c r="E68" s="54">
        <f>MROUND((H68/5.8)*1.1*1.35,25)</f>
        <v>750</v>
      </c>
      <c r="F68" s="24">
        <f t="shared" si="4"/>
        <v>9000</v>
      </c>
      <c r="H68">
        <v>2941</v>
      </c>
      <c r="I68" t="s">
        <v>201</v>
      </c>
      <c r="K68" t="s">
        <v>176</v>
      </c>
    </row>
    <row r="69" spans="1:12" x14ac:dyDescent="0.25">
      <c r="A69" s="21" t="s">
        <v>32</v>
      </c>
      <c r="B69" s="81" t="s">
        <v>127</v>
      </c>
      <c r="C69" s="82" t="s">
        <v>2</v>
      </c>
      <c r="D69" s="48">
        <f>8</f>
        <v>8</v>
      </c>
      <c r="E69" s="54">
        <v>13500</v>
      </c>
      <c r="F69" s="24">
        <f t="shared" si="4"/>
        <v>108000</v>
      </c>
      <c r="K69" s="293" t="s">
        <v>177</v>
      </c>
      <c r="L69" s="293"/>
    </row>
    <row r="70" spans="1:12" x14ac:dyDescent="0.25">
      <c r="A70" s="21" t="s">
        <v>307</v>
      </c>
      <c r="B70" s="53" t="s">
        <v>133</v>
      </c>
      <c r="C70" s="33" t="s">
        <v>2</v>
      </c>
      <c r="D70" s="33">
        <v>1</v>
      </c>
      <c r="E70" s="52">
        <f>165000*1.25</f>
        <v>206250</v>
      </c>
      <c r="F70" s="24">
        <f t="shared" ref="F70:F74" si="5">+E70*D70</f>
        <v>206250</v>
      </c>
    </row>
    <row r="71" spans="1:12" x14ac:dyDescent="0.25">
      <c r="A71" s="21" t="s">
        <v>388</v>
      </c>
      <c r="B71" s="53" t="s">
        <v>134</v>
      </c>
      <c r="C71" s="33" t="s">
        <v>2</v>
      </c>
      <c r="D71" s="33">
        <v>1</v>
      </c>
      <c r="E71" s="52">
        <f>40200*1.25</f>
        <v>50250</v>
      </c>
      <c r="F71" s="24">
        <f t="shared" si="5"/>
        <v>50250</v>
      </c>
    </row>
    <row r="72" spans="1:12" x14ac:dyDescent="0.25">
      <c r="A72" s="21" t="s">
        <v>308</v>
      </c>
      <c r="B72" s="53" t="s">
        <v>135</v>
      </c>
      <c r="C72" s="33" t="s">
        <v>2</v>
      </c>
      <c r="D72" s="33">
        <v>1</v>
      </c>
      <c r="E72" s="52">
        <f>13100*1.57*1.25</f>
        <v>25708.75</v>
      </c>
      <c r="F72" s="24">
        <f t="shared" si="5"/>
        <v>25708.75</v>
      </c>
      <c r="H72">
        <f>20*655</f>
        <v>13100</v>
      </c>
    </row>
    <row r="73" spans="1:12" x14ac:dyDescent="0.25">
      <c r="A73" s="21" t="s">
        <v>309</v>
      </c>
      <c r="B73" s="53" t="s">
        <v>136</v>
      </c>
      <c r="C73" s="33" t="s">
        <v>2</v>
      </c>
      <c r="D73" s="33">
        <v>1</v>
      </c>
      <c r="E73" s="52">
        <f>21222*1.57*1.25</f>
        <v>41648.175000000003</v>
      </c>
      <c r="F73" s="24">
        <f t="shared" si="5"/>
        <v>41648.175000000003</v>
      </c>
      <c r="H73">
        <f>32.4*655</f>
        <v>21222</v>
      </c>
    </row>
    <row r="74" spans="1:12" x14ac:dyDescent="0.25">
      <c r="A74" s="21" t="s">
        <v>389</v>
      </c>
      <c r="B74" s="50" t="s">
        <v>137</v>
      </c>
      <c r="C74" s="33" t="s">
        <v>2</v>
      </c>
      <c r="D74" s="33">
        <v>2</v>
      </c>
      <c r="E74" s="52">
        <f>21420*1.25</f>
        <v>26775</v>
      </c>
      <c r="F74" s="24">
        <f t="shared" si="5"/>
        <v>53550</v>
      </c>
    </row>
    <row r="75" spans="1:12" x14ac:dyDescent="0.25">
      <c r="A75" s="21" t="s">
        <v>33</v>
      </c>
      <c r="B75" s="294" t="s">
        <v>138</v>
      </c>
      <c r="C75" s="295"/>
      <c r="D75" s="295"/>
      <c r="E75" s="295"/>
      <c r="F75" s="296"/>
    </row>
    <row r="76" spans="1:12" x14ac:dyDescent="0.25">
      <c r="A76" s="21" t="s">
        <v>34</v>
      </c>
      <c r="B76" s="50" t="s">
        <v>362</v>
      </c>
      <c r="C76" s="51" t="s">
        <v>4</v>
      </c>
      <c r="D76" s="33">
        <f>4*2</f>
        <v>8</v>
      </c>
      <c r="E76" s="52">
        <f>260260</f>
        <v>260260</v>
      </c>
      <c r="F76" s="24">
        <f t="shared" ref="F76:F77" si="6">+E76*D76</f>
        <v>2082080</v>
      </c>
    </row>
    <row r="77" spans="1:12" x14ac:dyDescent="0.25">
      <c r="A77" s="21" t="s">
        <v>390</v>
      </c>
      <c r="B77" s="50" t="s">
        <v>363</v>
      </c>
      <c r="C77" s="51" t="s">
        <v>4</v>
      </c>
      <c r="D77" s="33">
        <f>3*2</f>
        <v>6</v>
      </c>
      <c r="E77" s="52">
        <f>207351</f>
        <v>207351</v>
      </c>
      <c r="F77" s="24">
        <f t="shared" si="6"/>
        <v>1244106</v>
      </c>
    </row>
    <row r="78" spans="1:12" x14ac:dyDescent="0.25">
      <c r="A78" s="21" t="s">
        <v>391</v>
      </c>
      <c r="B78" s="294" t="s">
        <v>141</v>
      </c>
      <c r="C78" s="295"/>
      <c r="D78" s="295"/>
      <c r="E78" s="295"/>
      <c r="F78" s="296"/>
    </row>
    <row r="79" spans="1:12" x14ac:dyDescent="0.25">
      <c r="A79" s="21" t="s">
        <v>392</v>
      </c>
      <c r="B79" s="50" t="s">
        <v>142</v>
      </c>
      <c r="C79" s="33" t="s">
        <v>2</v>
      </c>
      <c r="D79" s="33">
        <f>4*2</f>
        <v>8</v>
      </c>
      <c r="E79" s="52">
        <f>27846</f>
        <v>27846</v>
      </c>
      <c r="F79" s="24">
        <f t="shared" ref="F79:F82" si="7">+E79*D79</f>
        <v>222768</v>
      </c>
    </row>
    <row r="80" spans="1:12" x14ac:dyDescent="0.25">
      <c r="A80" s="21" t="s">
        <v>393</v>
      </c>
      <c r="B80" s="50" t="s">
        <v>143</v>
      </c>
      <c r="C80" s="33" t="s">
        <v>2</v>
      </c>
      <c r="D80" s="33">
        <v>8</v>
      </c>
      <c r="E80" s="52">
        <f>6500*1.25</f>
        <v>8125</v>
      </c>
      <c r="F80" s="24">
        <f t="shared" si="7"/>
        <v>65000</v>
      </c>
    </row>
    <row r="81" spans="1:8" x14ac:dyDescent="0.25">
      <c r="A81" s="21" t="s">
        <v>394</v>
      </c>
      <c r="B81" s="50" t="s">
        <v>144</v>
      </c>
      <c r="C81" s="33" t="s">
        <v>2</v>
      </c>
      <c r="D81" s="33">
        <v>6</v>
      </c>
      <c r="E81" s="52">
        <f>23751</f>
        <v>23751</v>
      </c>
      <c r="F81" s="24">
        <f t="shared" si="7"/>
        <v>142506</v>
      </c>
    </row>
    <row r="82" spans="1:8" x14ac:dyDescent="0.25">
      <c r="A82" s="21" t="s">
        <v>395</v>
      </c>
      <c r="B82" s="50" t="s">
        <v>145</v>
      </c>
      <c r="C82" s="33" t="s">
        <v>2</v>
      </c>
      <c r="D82" s="33">
        <f>3*2</f>
        <v>6</v>
      </c>
      <c r="E82" s="52">
        <f>45864</f>
        <v>45864</v>
      </c>
      <c r="F82" s="24">
        <f t="shared" si="7"/>
        <v>275184</v>
      </c>
    </row>
    <row r="83" spans="1:8" x14ac:dyDescent="0.25">
      <c r="A83" s="72"/>
      <c r="B83" s="77" t="s">
        <v>146</v>
      </c>
      <c r="C83" s="73"/>
      <c r="D83" s="74"/>
      <c r="E83" s="75"/>
      <c r="F83" s="76">
        <f>F82+F81+F80+F79+F77+F76+F74+F73+F72+F71+F70+F69+F68+F67+F66+F65+F64</f>
        <v>6239675.9249999998</v>
      </c>
    </row>
    <row r="84" spans="1:8" x14ac:dyDescent="0.25">
      <c r="A84" s="19" t="s">
        <v>147</v>
      </c>
      <c r="B84" s="297" t="s">
        <v>155</v>
      </c>
      <c r="C84" s="297" t="s">
        <v>22</v>
      </c>
      <c r="D84" s="297"/>
      <c r="E84" s="297"/>
      <c r="F84" s="297"/>
    </row>
    <row r="85" spans="1:8" x14ac:dyDescent="0.25">
      <c r="A85" s="86" t="s">
        <v>148</v>
      </c>
      <c r="B85" s="22" t="s">
        <v>263</v>
      </c>
      <c r="C85" s="33" t="s">
        <v>2</v>
      </c>
      <c r="D85" s="23">
        <v>1</v>
      </c>
      <c r="E85" s="24">
        <f>2500000</f>
        <v>2500000</v>
      </c>
      <c r="F85" s="24">
        <f t="shared" ref="F85:F86" si="8">+E85*D85</f>
        <v>2500000</v>
      </c>
      <c r="G85" s="56">
        <v>5145000</v>
      </c>
      <c r="H85" s="56">
        <v>5145000</v>
      </c>
    </row>
    <row r="86" spans="1:8" x14ac:dyDescent="0.25">
      <c r="A86" s="86" t="s">
        <v>149</v>
      </c>
      <c r="B86" s="22" t="s">
        <v>169</v>
      </c>
      <c r="C86" s="33" t="s">
        <v>2</v>
      </c>
      <c r="D86" s="32">
        <v>4</v>
      </c>
      <c r="E86" s="24">
        <f>95000*1.25</f>
        <v>118750</v>
      </c>
      <c r="F86" s="24">
        <f t="shared" si="8"/>
        <v>475000</v>
      </c>
      <c r="G86" s="56">
        <v>118750</v>
      </c>
      <c r="H86" s="56">
        <v>712500</v>
      </c>
    </row>
    <row r="87" spans="1:8" ht="15.75" thickBot="1" x14ac:dyDescent="0.3">
      <c r="A87" s="72"/>
      <c r="B87" s="77" t="s">
        <v>171</v>
      </c>
      <c r="C87" s="73"/>
      <c r="D87" s="74"/>
      <c r="E87" s="75"/>
      <c r="F87" s="76">
        <f>F86+F85</f>
        <v>2975000</v>
      </c>
      <c r="H87" s="25">
        <f>SUM(H85:H86)</f>
        <v>5857500</v>
      </c>
    </row>
    <row r="88" spans="1:8" x14ac:dyDescent="0.25">
      <c r="A88" s="1"/>
      <c r="B88" s="132" t="s">
        <v>68</v>
      </c>
      <c r="C88" s="133"/>
      <c r="D88" s="133"/>
      <c r="E88" s="133"/>
      <c r="F88" s="146">
        <f>F87+F83+F61+F47</f>
        <v>37095851.756249994</v>
      </c>
      <c r="G88">
        <v>42</v>
      </c>
    </row>
    <row r="89" spans="1:8" x14ac:dyDescent="0.25">
      <c r="A89" s="1"/>
      <c r="B89" s="135" t="s">
        <v>36</v>
      </c>
      <c r="C89" s="147"/>
      <c r="D89" s="147"/>
      <c r="E89" s="147"/>
      <c r="F89" s="137">
        <f>F88*0.18</f>
        <v>6677253.316124999</v>
      </c>
      <c r="G89" s="56">
        <f>F88/G88</f>
        <v>883234.56562499981</v>
      </c>
    </row>
    <row r="90" spans="1:8" x14ac:dyDescent="0.25">
      <c r="A90" s="1"/>
      <c r="B90" s="138" t="s">
        <v>281</v>
      </c>
      <c r="C90" s="148"/>
      <c r="D90" s="148"/>
      <c r="E90" s="148"/>
      <c r="F90" s="149">
        <f>F88*0.01</f>
        <v>370958.51756249997</v>
      </c>
    </row>
    <row r="91" spans="1:8" ht="15.75" thickBot="1" x14ac:dyDescent="0.3">
      <c r="B91" s="140" t="s">
        <v>69</v>
      </c>
      <c r="C91" s="141"/>
      <c r="D91" s="142"/>
      <c r="E91" s="142"/>
      <c r="F91" s="143">
        <f>F88+F89+F90</f>
        <v>44144063.589937493</v>
      </c>
    </row>
    <row r="93" spans="1:8" ht="33" customHeight="1" x14ac:dyDescent="0.25">
      <c r="B93" s="277" t="s">
        <v>401</v>
      </c>
      <c r="C93" s="277"/>
      <c r="D93" s="277"/>
      <c r="E93" s="277"/>
      <c r="F93" s="277"/>
    </row>
    <row r="95" spans="1:8" x14ac:dyDescent="0.25">
      <c r="B95" s="110" t="s">
        <v>386</v>
      </c>
    </row>
    <row r="98" spans="2:2" ht="15.75" x14ac:dyDescent="0.25">
      <c r="B98" s="112" t="s">
        <v>292</v>
      </c>
    </row>
    <row r="100" spans="2:2" ht="15.75" x14ac:dyDescent="0.25">
      <c r="B100" s="112" t="s">
        <v>293</v>
      </c>
    </row>
  </sheetData>
  <mergeCells count="19">
    <mergeCell ref="B27:F27"/>
    <mergeCell ref="B32:F32"/>
    <mergeCell ref="B2:F2"/>
    <mergeCell ref="B4:F4"/>
    <mergeCell ref="B93:F93"/>
    <mergeCell ref="B43:F43"/>
    <mergeCell ref="B48:F48"/>
    <mergeCell ref="B49:F49"/>
    <mergeCell ref="B38:F38"/>
    <mergeCell ref="B13:D13"/>
    <mergeCell ref="B17:F17"/>
    <mergeCell ref="B18:F18"/>
    <mergeCell ref="A7:B7"/>
    <mergeCell ref="K69:L69"/>
    <mergeCell ref="B75:F75"/>
    <mergeCell ref="B78:F78"/>
    <mergeCell ref="B84:F84"/>
    <mergeCell ref="B62:F62"/>
    <mergeCell ref="B63:F63"/>
  </mergeCells>
  <phoneticPr fontId="20" type="noConversion"/>
  <pageMargins left="0.70866141732283472" right="0.70866141732283472" top="0.98" bottom="0.74803149606299213" header="0.31496062992125984" footer="0.31496062992125984"/>
  <pageSetup paperSize="9" scale="80" orientation="portrait" r:id="rId1"/>
  <headerFooter>
    <oddHeader>&amp;L&amp;G</oddHeader>
    <oddFooter>&amp;C&amp;G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3:I88"/>
  <sheetViews>
    <sheetView view="pageBreakPreview" zoomScaleNormal="100" zoomScaleSheetLayoutView="100" workbookViewId="0">
      <selection activeCell="L24" sqref="L24"/>
    </sheetView>
  </sheetViews>
  <sheetFormatPr baseColWidth="10" defaultRowHeight="15" x14ac:dyDescent="0.25"/>
  <cols>
    <col min="1" max="1" width="5.85546875" style="2" customWidth="1"/>
    <col min="2" max="2" width="58.85546875" style="1" customWidth="1"/>
    <col min="3" max="3" width="6.140625" style="3" customWidth="1"/>
    <col min="4" max="4" width="9.28515625" style="156" customWidth="1"/>
    <col min="5" max="5" width="12.28515625" style="2" customWidth="1"/>
    <col min="6" max="6" width="19.140625" style="2" customWidth="1"/>
    <col min="8" max="8" width="11.28515625" style="207" bestFit="1" customWidth="1"/>
  </cols>
  <sheetData>
    <row r="3" spans="1:9" ht="40.5" customHeight="1" x14ac:dyDescent="0.3">
      <c r="A3" s="283" t="s">
        <v>385</v>
      </c>
      <c r="B3" s="283"/>
      <c r="C3" s="283"/>
      <c r="D3" s="283"/>
      <c r="E3" s="283"/>
      <c r="F3" s="283"/>
    </row>
    <row r="5" spans="1:9" ht="18" x14ac:dyDescent="0.25">
      <c r="A5" s="284" t="s">
        <v>275</v>
      </c>
      <c r="B5" s="285"/>
      <c r="C5" s="285"/>
      <c r="D5" s="285"/>
      <c r="E5" s="285"/>
      <c r="F5" s="285"/>
    </row>
    <row r="7" spans="1:9" ht="15.75" x14ac:dyDescent="0.25">
      <c r="A7" s="286" t="s">
        <v>387</v>
      </c>
      <c r="B7" s="278"/>
    </row>
    <row r="8" spans="1:9" ht="15.75" thickBot="1" x14ac:dyDescent="0.3">
      <c r="A8" s="196"/>
      <c r="F8" s="193"/>
    </row>
    <row r="9" spans="1:9" ht="15.75" thickBot="1" x14ac:dyDescent="0.3">
      <c r="A9" s="197"/>
      <c r="B9" s="4"/>
      <c r="C9" s="5"/>
      <c r="D9" s="157"/>
      <c r="E9" s="6"/>
      <c r="F9" s="194"/>
    </row>
    <row r="10" spans="1:9" ht="15.75" thickBot="1" x14ac:dyDescent="0.3">
      <c r="A10" s="198"/>
      <c r="F10" s="195"/>
      <c r="I10" s="38">
        <v>1.6</v>
      </c>
    </row>
    <row r="11" spans="1:9" x14ac:dyDescent="0.25">
      <c r="A11" s="189" t="s">
        <v>0</v>
      </c>
      <c r="B11" s="190" t="s">
        <v>1</v>
      </c>
      <c r="C11" s="191" t="s">
        <v>272</v>
      </c>
      <c r="D11" s="192" t="s">
        <v>273</v>
      </c>
      <c r="E11" s="191" t="s">
        <v>274</v>
      </c>
      <c r="F11" s="191" t="s">
        <v>271</v>
      </c>
      <c r="H11" s="232">
        <v>46023</v>
      </c>
    </row>
    <row r="12" spans="1:9" x14ac:dyDescent="0.25">
      <c r="A12" s="174" t="s">
        <v>39</v>
      </c>
      <c r="B12" s="102" t="s">
        <v>202</v>
      </c>
      <c r="C12" s="64"/>
      <c r="D12" s="158"/>
      <c r="E12" s="64"/>
      <c r="F12" s="64"/>
    </row>
    <row r="13" spans="1:9" x14ac:dyDescent="0.25">
      <c r="A13" s="175" t="s">
        <v>298</v>
      </c>
      <c r="B13" s="103" t="s">
        <v>203</v>
      </c>
      <c r="C13" s="58" t="s">
        <v>178</v>
      </c>
      <c r="D13" s="159">
        <v>1</v>
      </c>
      <c r="E13" s="119">
        <v>21600000</v>
      </c>
      <c r="F13" s="119">
        <f>D13*E13</f>
        <v>21600000</v>
      </c>
      <c r="G13">
        <v>0.5</v>
      </c>
      <c r="H13" s="207">
        <f>G13*F13</f>
        <v>10800000</v>
      </c>
    </row>
    <row r="14" spans="1:9" x14ac:dyDescent="0.25">
      <c r="A14" s="175" t="s">
        <v>299</v>
      </c>
      <c r="B14" s="103" t="s">
        <v>204</v>
      </c>
      <c r="C14" s="58" t="s">
        <v>178</v>
      </c>
      <c r="D14" s="159">
        <v>1</v>
      </c>
      <c r="E14" s="119">
        <v>500000</v>
      </c>
      <c r="F14" s="119">
        <f t="shared" ref="F14" si="0">D14*E14</f>
        <v>500000</v>
      </c>
      <c r="G14">
        <v>1</v>
      </c>
      <c r="H14" s="207">
        <f t="shared" ref="H14:H19" si="1">G14*F14</f>
        <v>500000</v>
      </c>
    </row>
    <row r="15" spans="1:9" x14ac:dyDescent="0.25">
      <c r="A15" s="175" t="s">
        <v>300</v>
      </c>
      <c r="B15" s="103" t="s">
        <v>205</v>
      </c>
      <c r="C15" s="58" t="s">
        <v>210</v>
      </c>
      <c r="D15" s="159">
        <v>1</v>
      </c>
      <c r="E15" s="119">
        <v>7500000</v>
      </c>
      <c r="F15" s="119">
        <f>D15*E15</f>
        <v>7500000</v>
      </c>
      <c r="G15">
        <v>0.75</v>
      </c>
      <c r="H15" s="207">
        <f t="shared" si="1"/>
        <v>5625000</v>
      </c>
    </row>
    <row r="16" spans="1:9" x14ac:dyDescent="0.25">
      <c r="A16" s="175" t="s">
        <v>301</v>
      </c>
      <c r="B16" s="103" t="s">
        <v>206</v>
      </c>
      <c r="C16" s="58" t="s">
        <v>210</v>
      </c>
      <c r="D16" s="159">
        <v>1</v>
      </c>
      <c r="E16" s="119">
        <f>5500000*1.15</f>
        <v>6324999.9999999991</v>
      </c>
      <c r="F16" s="119">
        <f t="shared" ref="F16:F19" si="2">D16*E16</f>
        <v>6324999.9999999991</v>
      </c>
      <c r="G16">
        <v>1</v>
      </c>
      <c r="H16" s="207">
        <f t="shared" si="1"/>
        <v>6324999.9999999991</v>
      </c>
    </row>
    <row r="17" spans="1:9" ht="25.15" customHeight="1" x14ac:dyDescent="0.25">
      <c r="A17" s="175" t="s">
        <v>302</v>
      </c>
      <c r="B17" s="103" t="s">
        <v>207</v>
      </c>
      <c r="C17" s="58" t="s">
        <v>210</v>
      </c>
      <c r="D17" s="159">
        <v>1</v>
      </c>
      <c r="E17" s="119">
        <v>6500000</v>
      </c>
      <c r="F17" s="119">
        <f t="shared" si="2"/>
        <v>6500000</v>
      </c>
      <c r="G17">
        <v>0.8</v>
      </c>
      <c r="H17" s="207">
        <f t="shared" si="1"/>
        <v>5200000</v>
      </c>
    </row>
    <row r="18" spans="1:9" x14ac:dyDescent="0.25">
      <c r="A18" s="175" t="s">
        <v>303</v>
      </c>
      <c r="B18" s="103" t="s">
        <v>208</v>
      </c>
      <c r="C18" s="58" t="s">
        <v>210</v>
      </c>
      <c r="D18" s="159">
        <v>1</v>
      </c>
      <c r="E18" s="119">
        <v>13500000</v>
      </c>
      <c r="F18" s="119">
        <f t="shared" si="2"/>
        <v>13500000</v>
      </c>
      <c r="H18" s="207">
        <f t="shared" si="1"/>
        <v>0</v>
      </c>
    </row>
    <row r="19" spans="1:9" ht="26.1" customHeight="1" x14ac:dyDescent="0.25">
      <c r="A19" s="175" t="s">
        <v>304</v>
      </c>
      <c r="B19" s="103" t="s">
        <v>209</v>
      </c>
      <c r="C19" s="58" t="s">
        <v>210</v>
      </c>
      <c r="D19" s="159">
        <v>1</v>
      </c>
      <c r="E19" s="119">
        <f>2000000*6</f>
        <v>12000000</v>
      </c>
      <c r="F19" s="119">
        <f t="shared" si="2"/>
        <v>12000000</v>
      </c>
      <c r="G19">
        <v>0.25</v>
      </c>
      <c r="H19" s="207">
        <f t="shared" si="1"/>
        <v>3000000</v>
      </c>
    </row>
    <row r="20" spans="1:9" x14ac:dyDescent="0.25">
      <c r="A20" s="176"/>
      <c r="B20" s="104" t="s">
        <v>214</v>
      </c>
      <c r="C20" s="57"/>
      <c r="D20" s="160"/>
      <c r="E20" s="57"/>
      <c r="F20" s="120">
        <f>SUM(F13:F19)</f>
        <v>67925000</v>
      </c>
      <c r="H20" s="229">
        <f>SUM(H13:H19)</f>
        <v>31450000</v>
      </c>
      <c r="I20" s="231">
        <f>H20/F20</f>
        <v>0.46301067353698933</v>
      </c>
    </row>
    <row r="21" spans="1:9" x14ac:dyDescent="0.25">
      <c r="A21" s="177" t="s">
        <v>5</v>
      </c>
      <c r="B21" s="287" t="s">
        <v>49</v>
      </c>
      <c r="C21" s="288"/>
      <c r="D21" s="289"/>
      <c r="E21" s="123"/>
      <c r="F21" s="124"/>
    </row>
    <row r="22" spans="1:9" x14ac:dyDescent="0.25">
      <c r="A22" s="91" t="s">
        <v>6</v>
      </c>
      <c r="B22" s="90" t="s">
        <v>211</v>
      </c>
      <c r="C22" s="121" t="s">
        <v>295</v>
      </c>
      <c r="D22" s="161">
        <f>124*(1.5+5+1.5)</f>
        <v>992</v>
      </c>
      <c r="E22" s="126">
        <f>1179*1.25</f>
        <v>1473.75</v>
      </c>
      <c r="F22" s="129">
        <f>D22*E22</f>
        <v>1461960</v>
      </c>
      <c r="G22">
        <v>1</v>
      </c>
      <c r="H22" s="207">
        <f t="shared" ref="H22:H26" si="3">G22*F22</f>
        <v>1461960</v>
      </c>
    </row>
    <row r="23" spans="1:9" x14ac:dyDescent="0.25">
      <c r="A23" s="91" t="s">
        <v>7</v>
      </c>
      <c r="B23" s="90" t="s">
        <v>212</v>
      </c>
      <c r="C23" s="121" t="s">
        <v>295</v>
      </c>
      <c r="D23" s="162">
        <f>124*3*2</f>
        <v>744</v>
      </c>
      <c r="E23" s="126">
        <f>1025*1.15</f>
        <v>1178.75</v>
      </c>
      <c r="F23" s="129">
        <f t="shared" ref="F23:F27" si="4">D23*E23</f>
        <v>876990</v>
      </c>
      <c r="G23">
        <v>1</v>
      </c>
      <c r="H23" s="207">
        <f t="shared" si="3"/>
        <v>876990</v>
      </c>
    </row>
    <row r="24" spans="1:9" x14ac:dyDescent="0.25">
      <c r="A24" s="91" t="s">
        <v>8</v>
      </c>
      <c r="B24" s="90" t="s">
        <v>213</v>
      </c>
      <c r="C24" s="121" t="s">
        <v>295</v>
      </c>
      <c r="D24" s="162">
        <f>(2178+347+(124*6))*0.2</f>
        <v>653.80000000000007</v>
      </c>
      <c r="E24" s="126">
        <f>150*7+(50*50)</f>
        <v>3550</v>
      </c>
      <c r="F24" s="129">
        <f t="shared" si="4"/>
        <v>2320990.0000000005</v>
      </c>
      <c r="G24">
        <v>1</v>
      </c>
      <c r="H24" s="207">
        <f t="shared" si="3"/>
        <v>2320990.0000000005</v>
      </c>
    </row>
    <row r="25" spans="1:9" x14ac:dyDescent="0.25">
      <c r="A25" s="91" t="s">
        <v>9</v>
      </c>
      <c r="B25" s="90" t="s">
        <v>346</v>
      </c>
      <c r="C25" s="121" t="s">
        <v>22</v>
      </c>
      <c r="D25" s="162">
        <v>6</v>
      </c>
      <c r="E25" s="126">
        <f>350000</f>
        <v>350000</v>
      </c>
      <c r="F25" s="129">
        <f t="shared" si="4"/>
        <v>2100000</v>
      </c>
      <c r="G25">
        <v>1</v>
      </c>
      <c r="H25" s="207">
        <f t="shared" si="3"/>
        <v>2100000</v>
      </c>
    </row>
    <row r="26" spans="1:9" x14ac:dyDescent="0.25">
      <c r="A26" s="243" t="s">
        <v>10</v>
      </c>
      <c r="B26" s="244" t="s">
        <v>347</v>
      </c>
      <c r="C26" s="245" t="s">
        <v>348</v>
      </c>
      <c r="D26" s="246" t="s">
        <v>349</v>
      </c>
      <c r="E26" s="247">
        <v>14500000</v>
      </c>
      <c r="F26" s="248">
        <f t="shared" si="4"/>
        <v>29000000</v>
      </c>
      <c r="G26">
        <v>0.5</v>
      </c>
      <c r="H26" s="207">
        <f t="shared" si="3"/>
        <v>14500000</v>
      </c>
    </row>
    <row r="27" spans="1:9" x14ac:dyDescent="0.25">
      <c r="A27" s="91" t="s">
        <v>11</v>
      </c>
      <c r="B27" s="90"/>
      <c r="C27" s="122"/>
      <c r="D27" s="163"/>
      <c r="E27" s="126"/>
      <c r="F27" s="129">
        <f t="shared" si="4"/>
        <v>0</v>
      </c>
    </row>
    <row r="28" spans="1:9" ht="14.45" customHeight="1" x14ac:dyDescent="0.25">
      <c r="A28" s="178"/>
      <c r="B28" s="106" t="s">
        <v>215</v>
      </c>
      <c r="C28" s="89"/>
      <c r="D28" s="164"/>
      <c r="E28" s="125"/>
      <c r="F28" s="130">
        <f>SUM(F22:F27)</f>
        <v>35759940</v>
      </c>
      <c r="H28" s="233">
        <f>SUM(H22:H27)</f>
        <v>21259940</v>
      </c>
      <c r="I28" s="231">
        <f>H28/F28</f>
        <v>0.59451833532159171</v>
      </c>
    </row>
    <row r="29" spans="1:9" x14ac:dyDescent="0.25">
      <c r="A29" s="179" t="s">
        <v>24</v>
      </c>
      <c r="B29" s="105" t="s">
        <v>216</v>
      </c>
      <c r="C29" s="62"/>
      <c r="D29" s="165"/>
      <c r="E29" s="63"/>
      <c r="F29" s="63"/>
    </row>
    <row r="30" spans="1:9" x14ac:dyDescent="0.25">
      <c r="A30" s="91" t="s">
        <v>25</v>
      </c>
      <c r="B30" s="107" t="s">
        <v>217</v>
      </c>
      <c r="C30" s="94" t="s">
        <v>241</v>
      </c>
      <c r="D30" s="166">
        <f>(2178+347)*0.5</f>
        <v>1262.5</v>
      </c>
      <c r="E30" s="155">
        <f>5986</f>
        <v>5986</v>
      </c>
      <c r="F30" s="131">
        <f>D30*E30</f>
        <v>7557325</v>
      </c>
      <c r="G30">
        <v>0.7</v>
      </c>
      <c r="H30" s="207">
        <f t="shared" ref="H30:H34" si="5">G30*F30</f>
        <v>5290127.5</v>
      </c>
    </row>
    <row r="31" spans="1:9" x14ac:dyDescent="0.25">
      <c r="A31" s="91" t="s">
        <v>26</v>
      </c>
      <c r="B31" s="107" t="s">
        <v>218</v>
      </c>
      <c r="C31" s="94" t="s">
        <v>241</v>
      </c>
      <c r="D31" s="167" t="s">
        <v>249</v>
      </c>
      <c r="E31" s="126">
        <f>E30*2.5</f>
        <v>14965</v>
      </c>
      <c r="F31" s="131">
        <v>0</v>
      </c>
      <c r="H31" s="207">
        <f t="shared" si="5"/>
        <v>0</v>
      </c>
    </row>
    <row r="32" spans="1:9" x14ac:dyDescent="0.25">
      <c r="A32" s="91" t="s">
        <v>27</v>
      </c>
      <c r="B32" s="107" t="s">
        <v>219</v>
      </c>
      <c r="C32" s="94" t="s">
        <v>241</v>
      </c>
      <c r="D32" s="167">
        <f>74.4*1.3</f>
        <v>96.720000000000013</v>
      </c>
      <c r="E32" s="126">
        <f>23808*1.15</f>
        <v>27379.199999999997</v>
      </c>
      <c r="F32" s="131">
        <f t="shared" ref="F32:F33" si="6">D32*E32</f>
        <v>2648116.2239999999</v>
      </c>
      <c r="H32" s="207">
        <f t="shared" si="5"/>
        <v>0</v>
      </c>
    </row>
    <row r="33" spans="1:9" ht="25.15" customHeight="1" x14ac:dyDescent="0.25">
      <c r="A33" s="91" t="s">
        <v>66</v>
      </c>
      <c r="B33" s="108" t="s">
        <v>220</v>
      </c>
      <c r="C33" s="13" t="s">
        <v>295</v>
      </c>
      <c r="D33" s="167">
        <f>(124*5)+2525</f>
        <v>3145</v>
      </c>
      <c r="E33" s="126">
        <f>831*1.15</f>
        <v>955.65</v>
      </c>
      <c r="F33" s="131">
        <f t="shared" si="6"/>
        <v>3005519.25</v>
      </c>
      <c r="H33" s="207">
        <f t="shared" si="5"/>
        <v>0</v>
      </c>
    </row>
    <row r="34" spans="1:9" ht="23.25" customHeight="1" x14ac:dyDescent="0.25">
      <c r="A34" s="91" t="s">
        <v>67</v>
      </c>
      <c r="B34" s="108" t="s">
        <v>350</v>
      </c>
      <c r="C34" s="60" t="s">
        <v>235</v>
      </c>
      <c r="D34" s="199" t="s">
        <v>249</v>
      </c>
      <c r="E34" s="128">
        <f>350*1.45</f>
        <v>507.5</v>
      </c>
      <c r="F34" s="131">
        <v>0</v>
      </c>
      <c r="H34" s="207">
        <f t="shared" si="5"/>
        <v>0</v>
      </c>
    </row>
    <row r="35" spans="1:9" ht="14.45" customHeight="1" x14ac:dyDescent="0.25">
      <c r="A35" s="178"/>
      <c r="B35" s="101" t="s">
        <v>306</v>
      </c>
      <c r="C35" s="61"/>
      <c r="D35" s="168"/>
      <c r="E35" s="59"/>
      <c r="F35" s="127">
        <f>SUM(F30:F34)</f>
        <v>13210960.473999999</v>
      </c>
      <c r="H35" s="234">
        <f>SUM(H30:H34)</f>
        <v>5290127.5</v>
      </c>
      <c r="I35" s="231">
        <f>H35/F35</f>
        <v>0.40043473829259452</v>
      </c>
    </row>
    <row r="36" spans="1:9" x14ac:dyDescent="0.25">
      <c r="A36" s="180" t="s">
        <v>28</v>
      </c>
      <c r="B36" s="290" t="s">
        <v>238</v>
      </c>
      <c r="C36" s="291"/>
      <c r="D36" s="291"/>
      <c r="E36" s="291"/>
      <c r="F36" s="292"/>
    </row>
    <row r="37" spans="1:9" ht="22.5" customHeight="1" x14ac:dyDescent="0.25">
      <c r="A37" s="92" t="s">
        <v>29</v>
      </c>
      <c r="B37" s="93" t="s">
        <v>221</v>
      </c>
      <c r="C37" s="94" t="s">
        <v>241</v>
      </c>
      <c r="D37" s="162">
        <f>(124*5*0.15)+(2178*0.15)+(347.43*0.15)</f>
        <v>471.81450000000001</v>
      </c>
      <c r="E37" s="95">
        <f>30950/1.15</f>
        <v>26913.043478260872</v>
      </c>
      <c r="F37" s="95">
        <f>D37*E37</f>
        <v>12697964.152173914</v>
      </c>
      <c r="H37" s="207">
        <f t="shared" ref="H37:H52" si="7">G37*F37</f>
        <v>0</v>
      </c>
    </row>
    <row r="38" spans="1:9" ht="14.45" customHeight="1" x14ac:dyDescent="0.25">
      <c r="A38" s="92" t="s">
        <v>30</v>
      </c>
      <c r="B38" s="93" t="s">
        <v>351</v>
      </c>
      <c r="C38" s="94" t="s">
        <v>241</v>
      </c>
      <c r="D38" s="162">
        <f>D37</f>
        <v>471.81450000000001</v>
      </c>
      <c r="E38" s="95">
        <v>72000</v>
      </c>
      <c r="F38" s="95">
        <f t="shared" ref="F38:F43" si="8">D38*E38</f>
        <v>33970644</v>
      </c>
      <c r="H38" s="207">
        <f t="shared" si="7"/>
        <v>0</v>
      </c>
    </row>
    <row r="39" spans="1:9" x14ac:dyDescent="0.25">
      <c r="A39" s="92" t="s">
        <v>31</v>
      </c>
      <c r="B39" s="96" t="s">
        <v>222</v>
      </c>
      <c r="C39" s="97" t="s">
        <v>35</v>
      </c>
      <c r="D39" s="159">
        <f>2525+620</f>
        <v>3145</v>
      </c>
      <c r="E39" s="98">
        <f>2786</f>
        <v>2786</v>
      </c>
      <c r="F39" s="95">
        <f t="shared" si="8"/>
        <v>8761970</v>
      </c>
      <c r="H39" s="207">
        <f t="shared" si="7"/>
        <v>0</v>
      </c>
    </row>
    <row r="40" spans="1:9" x14ac:dyDescent="0.25">
      <c r="A40" s="92" t="s">
        <v>32</v>
      </c>
      <c r="B40" s="96" t="s">
        <v>223</v>
      </c>
      <c r="C40" s="97" t="s">
        <v>35</v>
      </c>
      <c r="D40" s="159">
        <v>0</v>
      </c>
      <c r="E40" s="98">
        <f>1350</f>
        <v>1350</v>
      </c>
      <c r="F40" s="95">
        <f t="shared" si="8"/>
        <v>0</v>
      </c>
      <c r="H40" s="207">
        <f t="shared" si="7"/>
        <v>0</v>
      </c>
    </row>
    <row r="41" spans="1:9" ht="24" x14ac:dyDescent="0.25">
      <c r="A41" s="92" t="s">
        <v>307</v>
      </c>
      <c r="B41" s="96" t="s">
        <v>358</v>
      </c>
      <c r="C41" s="97" t="s">
        <v>324</v>
      </c>
      <c r="D41" s="159">
        <f>(2525+620)*0.06*2.5</f>
        <v>471.75</v>
      </c>
      <c r="E41" s="98">
        <v>210000</v>
      </c>
      <c r="F41" s="95">
        <f t="shared" si="8"/>
        <v>99067500</v>
      </c>
      <c r="H41" s="207">
        <f t="shared" si="7"/>
        <v>0</v>
      </c>
    </row>
    <row r="42" spans="1:9" x14ac:dyDescent="0.25">
      <c r="A42" s="92" t="s">
        <v>388</v>
      </c>
      <c r="B42" s="96" t="s">
        <v>245</v>
      </c>
      <c r="C42" s="97" t="s">
        <v>14</v>
      </c>
      <c r="D42" s="159">
        <f>5*20</f>
        <v>100</v>
      </c>
      <c r="E42" s="98">
        <f>2750</f>
        <v>2750</v>
      </c>
      <c r="F42" s="95">
        <f t="shared" si="8"/>
        <v>275000</v>
      </c>
      <c r="H42" s="207">
        <f t="shared" si="7"/>
        <v>0</v>
      </c>
    </row>
    <row r="43" spans="1:9" x14ac:dyDescent="0.25">
      <c r="A43" s="92" t="s">
        <v>308</v>
      </c>
      <c r="B43" s="99" t="s">
        <v>64</v>
      </c>
      <c r="C43" s="94" t="s">
        <v>22</v>
      </c>
      <c r="D43" s="159">
        <v>12</v>
      </c>
      <c r="E43" s="95">
        <v>450000</v>
      </c>
      <c r="F43" s="95">
        <f t="shared" si="8"/>
        <v>5400000</v>
      </c>
      <c r="H43" s="207">
        <f t="shared" si="7"/>
        <v>0</v>
      </c>
    </row>
    <row r="44" spans="1:9" x14ac:dyDescent="0.25">
      <c r="A44" s="181"/>
      <c r="B44" s="100" t="s">
        <v>310</v>
      </c>
      <c r="C44" s="183"/>
      <c r="D44" s="184"/>
      <c r="E44" s="185"/>
      <c r="F44" s="186">
        <f>SUM(F37:F43)</f>
        <v>160173078.15217391</v>
      </c>
      <c r="H44" s="234">
        <f>SUM(H37:H43)</f>
        <v>0</v>
      </c>
    </row>
    <row r="45" spans="1:9" x14ac:dyDescent="0.25">
      <c r="A45" s="180" t="s">
        <v>147</v>
      </c>
      <c r="B45" s="280" t="s">
        <v>224</v>
      </c>
      <c r="C45" s="281"/>
      <c r="D45" s="281"/>
      <c r="E45" s="281"/>
      <c r="F45" s="282"/>
      <c r="H45" s="207">
        <f t="shared" si="7"/>
        <v>0</v>
      </c>
    </row>
    <row r="46" spans="1:9" x14ac:dyDescent="0.25">
      <c r="A46" s="92" t="s">
        <v>148</v>
      </c>
      <c r="B46" s="93" t="s">
        <v>226</v>
      </c>
      <c r="C46" s="94" t="s">
        <v>14</v>
      </c>
      <c r="D46" s="162">
        <f>124+100+25</f>
        <v>249</v>
      </c>
      <c r="E46" s="95">
        <f>6163</f>
        <v>6163</v>
      </c>
      <c r="F46" s="95">
        <f>D46*E46</f>
        <v>1534587</v>
      </c>
      <c r="H46" s="207">
        <f t="shared" si="7"/>
        <v>0</v>
      </c>
    </row>
    <row r="47" spans="1:9" x14ac:dyDescent="0.25">
      <c r="A47" s="92" t="s">
        <v>149</v>
      </c>
      <c r="B47" s="93" t="s">
        <v>248</v>
      </c>
      <c r="C47" s="94" t="s">
        <v>14</v>
      </c>
      <c r="D47" s="162">
        <f>124*2</f>
        <v>248</v>
      </c>
      <c r="E47" s="95">
        <f>7445</f>
        <v>7445</v>
      </c>
      <c r="F47" s="95">
        <f t="shared" ref="F47:F52" si="9">D47*E47</f>
        <v>1846360</v>
      </c>
      <c r="H47" s="207">
        <f t="shared" si="7"/>
        <v>0</v>
      </c>
    </row>
    <row r="48" spans="1:9" x14ac:dyDescent="0.25">
      <c r="A48" s="92" t="s">
        <v>150</v>
      </c>
      <c r="B48" s="96" t="s">
        <v>227</v>
      </c>
      <c r="C48" s="97" t="s">
        <v>14</v>
      </c>
      <c r="D48" s="159"/>
      <c r="E48" s="98">
        <f>6779</f>
        <v>6779</v>
      </c>
      <c r="F48" s="95">
        <f t="shared" si="9"/>
        <v>0</v>
      </c>
      <c r="H48" s="207">
        <f t="shared" si="7"/>
        <v>0</v>
      </c>
    </row>
    <row r="49" spans="1:8" ht="24" x14ac:dyDescent="0.25">
      <c r="A49" s="92" t="s">
        <v>151</v>
      </c>
      <c r="B49" s="96" t="s">
        <v>228</v>
      </c>
      <c r="C49" s="94" t="s">
        <v>246</v>
      </c>
      <c r="D49" s="162">
        <f>(2.5*0.5*5)*2</f>
        <v>12.5</v>
      </c>
      <c r="E49" s="95">
        <f>39601</f>
        <v>39601</v>
      </c>
      <c r="F49" s="95">
        <f t="shared" si="9"/>
        <v>495012.5</v>
      </c>
      <c r="H49" s="207">
        <f t="shared" si="7"/>
        <v>0</v>
      </c>
    </row>
    <row r="50" spans="1:8" x14ac:dyDescent="0.25">
      <c r="A50" s="92" t="s">
        <v>152</v>
      </c>
      <c r="B50" s="96" t="s">
        <v>244</v>
      </c>
      <c r="C50" s="97" t="s">
        <v>22</v>
      </c>
      <c r="D50" s="159">
        <f>2*1</f>
        <v>2</v>
      </c>
      <c r="E50" s="98">
        <f>600000</f>
        <v>600000</v>
      </c>
      <c r="F50" s="95">
        <f t="shared" si="9"/>
        <v>1200000</v>
      </c>
      <c r="H50" s="207">
        <f t="shared" si="7"/>
        <v>0</v>
      </c>
    </row>
    <row r="51" spans="1:8" ht="18.95" customHeight="1" x14ac:dyDescent="0.25">
      <c r="A51" s="92" t="s">
        <v>153</v>
      </c>
      <c r="B51" s="96" t="s">
        <v>243</v>
      </c>
      <c r="C51" s="97" t="s">
        <v>22</v>
      </c>
      <c r="D51" s="159">
        <f>2*1</f>
        <v>2</v>
      </c>
      <c r="E51" s="98">
        <f>660000</f>
        <v>660000</v>
      </c>
      <c r="F51" s="95">
        <f t="shared" si="9"/>
        <v>1320000</v>
      </c>
      <c r="H51" s="207">
        <f t="shared" si="7"/>
        <v>0</v>
      </c>
    </row>
    <row r="52" spans="1:8" ht="24" x14ac:dyDescent="0.25">
      <c r="A52" s="92" t="s">
        <v>311</v>
      </c>
      <c r="B52" s="99" t="s">
        <v>242</v>
      </c>
      <c r="C52" s="94" t="s">
        <v>22</v>
      </c>
      <c r="D52" s="159">
        <f>1*1</f>
        <v>1</v>
      </c>
      <c r="E52" s="95">
        <f>660000</f>
        <v>660000</v>
      </c>
      <c r="F52" s="95">
        <f t="shared" si="9"/>
        <v>660000</v>
      </c>
      <c r="H52" s="207">
        <f t="shared" si="7"/>
        <v>0</v>
      </c>
    </row>
    <row r="53" spans="1:8" ht="11.25" customHeight="1" x14ac:dyDescent="0.25">
      <c r="A53" s="182"/>
      <c r="B53" s="101" t="s">
        <v>312</v>
      </c>
      <c r="C53" s="187"/>
      <c r="D53" s="184"/>
      <c r="E53" s="185"/>
      <c r="F53" s="186">
        <f>SUM(F46:F52)</f>
        <v>7055959.5</v>
      </c>
      <c r="H53" s="234">
        <f>SUM(H45:H52)</f>
        <v>0</v>
      </c>
    </row>
    <row r="54" spans="1:8" x14ac:dyDescent="0.25">
      <c r="A54" s="180" t="s">
        <v>154</v>
      </c>
      <c r="B54" s="280" t="s">
        <v>225</v>
      </c>
      <c r="C54" s="281"/>
      <c r="D54" s="281"/>
      <c r="E54" s="281"/>
      <c r="F54" s="282"/>
    </row>
    <row r="55" spans="1:8" ht="9.75" customHeight="1" x14ac:dyDescent="0.25">
      <c r="A55" s="92" t="s">
        <v>156</v>
      </c>
      <c r="B55" s="93" t="s">
        <v>229</v>
      </c>
      <c r="C55" s="94" t="s">
        <v>241</v>
      </c>
      <c r="D55" s="162">
        <f>124*1.2*0.1</f>
        <v>14.879999999999999</v>
      </c>
      <c r="E55" s="95">
        <f>281000</f>
        <v>281000</v>
      </c>
      <c r="F55" s="95">
        <f>D55*E55</f>
        <v>4181279.9999999995</v>
      </c>
      <c r="H55" s="207">
        <f t="shared" ref="H55:H66" si="10">G55*F55</f>
        <v>0</v>
      </c>
    </row>
    <row r="56" spans="1:8" x14ac:dyDescent="0.25">
      <c r="A56" s="92" t="s">
        <v>157</v>
      </c>
      <c r="B56" s="93" t="s">
        <v>236</v>
      </c>
      <c r="C56" s="94" t="s">
        <v>14</v>
      </c>
      <c r="D56" s="162">
        <f>124+60</f>
        <v>184</v>
      </c>
      <c r="E56" s="95">
        <f>105000</f>
        <v>105000</v>
      </c>
      <c r="F56" s="95">
        <f t="shared" ref="F56:F65" si="11">D56*E56</f>
        <v>19320000</v>
      </c>
      <c r="H56" s="207">
        <f t="shared" si="10"/>
        <v>0</v>
      </c>
    </row>
    <row r="57" spans="1:8" ht="12" customHeight="1" x14ac:dyDescent="0.25">
      <c r="A57" s="92" t="s">
        <v>160</v>
      </c>
      <c r="B57" s="96" t="s">
        <v>239</v>
      </c>
      <c r="C57" s="97" t="s">
        <v>14</v>
      </c>
      <c r="D57" s="159">
        <v>60</v>
      </c>
      <c r="E57" s="98">
        <v>28000</v>
      </c>
      <c r="F57" s="95">
        <f t="shared" si="11"/>
        <v>1680000</v>
      </c>
      <c r="H57" s="207">
        <f t="shared" si="10"/>
        <v>0</v>
      </c>
    </row>
    <row r="58" spans="1:8" x14ac:dyDescent="0.25">
      <c r="A58" s="92" t="s">
        <v>161</v>
      </c>
      <c r="B58" s="96" t="s">
        <v>352</v>
      </c>
      <c r="C58" s="94" t="s">
        <v>14</v>
      </c>
      <c r="D58" s="162">
        <f>9*2</f>
        <v>18</v>
      </c>
      <c r="E58" s="95">
        <v>1200000</v>
      </c>
      <c r="F58" s="95">
        <f t="shared" si="11"/>
        <v>21600000</v>
      </c>
      <c r="G58">
        <v>0.7</v>
      </c>
      <c r="H58" s="207">
        <f t="shared" si="10"/>
        <v>15119999.999999998</v>
      </c>
    </row>
    <row r="59" spans="1:8" x14ac:dyDescent="0.25">
      <c r="A59" s="92" t="s">
        <v>162</v>
      </c>
      <c r="B59" s="96" t="s">
        <v>237</v>
      </c>
      <c r="C59" s="97" t="s">
        <v>22</v>
      </c>
      <c r="D59" s="159">
        <f>2*2</f>
        <v>4</v>
      </c>
      <c r="E59" s="98">
        <v>1200000</v>
      </c>
      <c r="F59" s="95">
        <f t="shared" si="11"/>
        <v>4800000</v>
      </c>
      <c r="G59">
        <v>1</v>
      </c>
      <c r="H59" s="207">
        <f t="shared" si="10"/>
        <v>4800000</v>
      </c>
    </row>
    <row r="60" spans="1:8" x14ac:dyDescent="0.25">
      <c r="A60" s="92" t="s">
        <v>163</v>
      </c>
      <c r="B60" s="96" t="s">
        <v>230</v>
      </c>
      <c r="C60" s="94" t="s">
        <v>241</v>
      </c>
      <c r="D60" s="159">
        <f>18*4*0.8*2</f>
        <v>115.2</v>
      </c>
      <c r="E60" s="98">
        <f>E74</f>
        <v>72000</v>
      </c>
      <c r="F60" s="95">
        <f t="shared" si="11"/>
        <v>8294400</v>
      </c>
      <c r="H60" s="207">
        <f t="shared" si="10"/>
        <v>0</v>
      </c>
    </row>
    <row r="61" spans="1:8" x14ac:dyDescent="0.25">
      <c r="A61" s="92" t="s">
        <v>165</v>
      </c>
      <c r="B61" s="96" t="s">
        <v>247</v>
      </c>
      <c r="C61" s="97" t="s">
        <v>181</v>
      </c>
      <c r="D61" s="159">
        <f>52.1*4</f>
        <v>208.4</v>
      </c>
      <c r="E61" s="98">
        <v>75480</v>
      </c>
      <c r="F61" s="95">
        <f t="shared" si="11"/>
        <v>15730032</v>
      </c>
      <c r="H61" s="207">
        <f t="shared" si="10"/>
        <v>0</v>
      </c>
    </row>
    <row r="62" spans="1:8" x14ac:dyDescent="0.25">
      <c r="A62" s="92" t="s">
        <v>166</v>
      </c>
      <c r="B62" s="96" t="s">
        <v>231</v>
      </c>
      <c r="C62" s="97" t="s">
        <v>14</v>
      </c>
      <c r="D62" s="159">
        <f>124/30*1.5+20</f>
        <v>26.200000000000003</v>
      </c>
      <c r="E62" s="98">
        <f>79914</f>
        <v>79914</v>
      </c>
      <c r="F62" s="95">
        <f t="shared" si="11"/>
        <v>2093746.8000000003</v>
      </c>
      <c r="H62" s="207">
        <f t="shared" si="10"/>
        <v>0</v>
      </c>
    </row>
    <row r="63" spans="1:8" x14ac:dyDescent="0.25">
      <c r="A63" s="92" t="s">
        <v>167</v>
      </c>
      <c r="B63" s="96" t="s">
        <v>232</v>
      </c>
      <c r="C63" s="97" t="s">
        <v>14</v>
      </c>
      <c r="D63" s="159">
        <v>0</v>
      </c>
      <c r="E63" s="98">
        <v>30000</v>
      </c>
      <c r="F63" s="95">
        <f t="shared" si="11"/>
        <v>0</v>
      </c>
      <c r="H63" s="207">
        <f t="shared" si="10"/>
        <v>0</v>
      </c>
    </row>
    <row r="64" spans="1:8" x14ac:dyDescent="0.25">
      <c r="A64" s="92" t="s">
        <v>168</v>
      </c>
      <c r="B64" s="96" t="s">
        <v>233</v>
      </c>
      <c r="C64" s="97" t="s">
        <v>14</v>
      </c>
      <c r="D64" s="170">
        <f>124+3.1+5.5+24.31+13.8+18.47+4.5+4.5+8+19.6+5.76+2.74+8.96+2.84+23.16+10.61+3.38</f>
        <v>283.23</v>
      </c>
      <c r="E64" s="98">
        <v>30000</v>
      </c>
      <c r="F64" s="95">
        <f>D64*E64</f>
        <v>8496900</v>
      </c>
      <c r="H64" s="207">
        <f t="shared" si="10"/>
        <v>0</v>
      </c>
    </row>
    <row r="65" spans="1:9" x14ac:dyDescent="0.25">
      <c r="A65" s="92" t="s">
        <v>170</v>
      </c>
      <c r="B65" s="96" t="s">
        <v>234</v>
      </c>
      <c r="C65" s="97" t="s">
        <v>22</v>
      </c>
      <c r="D65" s="159">
        <f>124/40</f>
        <v>3.1</v>
      </c>
      <c r="E65" s="98">
        <f>850000</f>
        <v>850000</v>
      </c>
      <c r="F65" s="95">
        <f t="shared" si="11"/>
        <v>2635000</v>
      </c>
      <c r="H65" s="207">
        <f t="shared" si="10"/>
        <v>0</v>
      </c>
    </row>
    <row r="66" spans="1:9" x14ac:dyDescent="0.25">
      <c r="A66" s="92" t="s">
        <v>313</v>
      </c>
      <c r="B66" s="96" t="s">
        <v>353</v>
      </c>
      <c r="C66" s="94" t="s">
        <v>241</v>
      </c>
      <c r="D66" s="159">
        <v>15</v>
      </c>
      <c r="E66" s="98">
        <v>450000</v>
      </c>
      <c r="F66" s="95">
        <f>D66*E66</f>
        <v>6750000</v>
      </c>
      <c r="H66" s="207">
        <f t="shared" si="10"/>
        <v>0</v>
      </c>
    </row>
    <row r="67" spans="1:9" x14ac:dyDescent="0.25">
      <c r="A67" s="181"/>
      <c r="B67" s="101" t="s">
        <v>314</v>
      </c>
      <c r="C67" s="187"/>
      <c r="D67" s="184"/>
      <c r="E67" s="185"/>
      <c r="F67" s="186">
        <f>SUM(F55:F66)</f>
        <v>95581358.799999997</v>
      </c>
      <c r="H67" s="234">
        <f>SUM(H55:H66)</f>
        <v>19920000</v>
      </c>
    </row>
    <row r="68" spans="1:9" x14ac:dyDescent="0.25">
      <c r="A68" s="180" t="s">
        <v>172</v>
      </c>
      <c r="B68" s="280" t="s">
        <v>269</v>
      </c>
      <c r="C68" s="281"/>
      <c r="D68" s="281"/>
      <c r="E68" s="281"/>
      <c r="F68" s="282"/>
    </row>
    <row r="69" spans="1:9" x14ac:dyDescent="0.25">
      <c r="A69" s="92" t="s">
        <v>315</v>
      </c>
      <c r="B69" s="93" t="s">
        <v>354</v>
      </c>
      <c r="C69" s="94" t="s">
        <v>355</v>
      </c>
      <c r="D69" s="162">
        <f>80*((3+5)/2)*2.85</f>
        <v>912</v>
      </c>
      <c r="E69" s="95">
        <f>E37</f>
        <v>26913.043478260872</v>
      </c>
      <c r="F69" s="95">
        <f>D69*E69</f>
        <v>24544695.652173914</v>
      </c>
      <c r="H69" s="207">
        <f t="shared" ref="H69:H74" si="12">G69*F69</f>
        <v>0</v>
      </c>
    </row>
    <row r="70" spans="1:9" x14ac:dyDescent="0.25">
      <c r="A70" s="92" t="s">
        <v>316</v>
      </c>
      <c r="B70" s="93" t="s">
        <v>328</v>
      </c>
      <c r="C70" s="94" t="s">
        <v>241</v>
      </c>
      <c r="D70" s="162">
        <f>(17.16+8.45)*1.5*0.2</f>
        <v>7.6829999999999998</v>
      </c>
      <c r="E70" s="95">
        <f>E55</f>
        <v>281000</v>
      </c>
      <c r="F70" s="95">
        <f t="shared" ref="F70:F74" si="13">D70*E70</f>
        <v>2158923</v>
      </c>
      <c r="H70" s="207">
        <f t="shared" si="12"/>
        <v>0</v>
      </c>
    </row>
    <row r="71" spans="1:9" ht="24" x14ac:dyDescent="0.25">
      <c r="A71" s="92" t="s">
        <v>317</v>
      </c>
      <c r="B71" s="93" t="s">
        <v>356</v>
      </c>
      <c r="C71" s="94" t="s">
        <v>35</v>
      </c>
      <c r="D71" s="162">
        <f>15*80</f>
        <v>1200</v>
      </c>
      <c r="E71" s="95">
        <v>2060</v>
      </c>
      <c r="F71" s="95">
        <f t="shared" si="13"/>
        <v>2472000</v>
      </c>
      <c r="H71" s="207">
        <f t="shared" si="12"/>
        <v>0</v>
      </c>
    </row>
    <row r="72" spans="1:9" x14ac:dyDescent="0.25">
      <c r="A72" s="92" t="s">
        <v>318</v>
      </c>
      <c r="B72" s="96" t="s">
        <v>268</v>
      </c>
      <c r="C72" s="94" t="s">
        <v>241</v>
      </c>
      <c r="D72" s="159">
        <f>((0.25*0.17)/2*69*2)+20.65*0.12*2</f>
        <v>7.8884999999999996</v>
      </c>
      <c r="E72" s="98">
        <f>E73</f>
        <v>450000</v>
      </c>
      <c r="F72" s="95">
        <f t="shared" si="13"/>
        <v>3549825</v>
      </c>
      <c r="H72" s="207">
        <f t="shared" si="12"/>
        <v>0</v>
      </c>
    </row>
    <row r="73" spans="1:9" x14ac:dyDescent="0.25">
      <c r="A73" s="92" t="s">
        <v>319</v>
      </c>
      <c r="B73" s="96" t="s">
        <v>321</v>
      </c>
      <c r="C73" s="94" t="s">
        <v>241</v>
      </c>
      <c r="D73" s="159">
        <f>80*3*0.15</f>
        <v>36</v>
      </c>
      <c r="E73" s="98">
        <v>450000</v>
      </c>
      <c r="F73" s="95">
        <f t="shared" si="13"/>
        <v>16200000</v>
      </c>
      <c r="H73" s="207">
        <f t="shared" si="12"/>
        <v>0</v>
      </c>
    </row>
    <row r="74" spans="1:9" x14ac:dyDescent="0.25">
      <c r="A74" s="92" t="s">
        <v>357</v>
      </c>
      <c r="B74" s="96" t="s">
        <v>270</v>
      </c>
      <c r="C74" s="94" t="s">
        <v>241</v>
      </c>
      <c r="D74" s="162">
        <f>80*((4.5*3/2)*2)</f>
        <v>1080</v>
      </c>
      <c r="E74" s="95">
        <v>72000</v>
      </c>
      <c r="F74" s="95">
        <f t="shared" si="13"/>
        <v>77760000</v>
      </c>
      <c r="H74" s="207">
        <f t="shared" si="12"/>
        <v>0</v>
      </c>
    </row>
    <row r="75" spans="1:9" ht="15.75" thickBot="1" x14ac:dyDescent="0.3">
      <c r="A75" s="181"/>
      <c r="B75" s="109" t="s">
        <v>320</v>
      </c>
      <c r="C75" s="36"/>
      <c r="D75" s="169"/>
      <c r="E75" s="37"/>
      <c r="F75" s="188">
        <f>SUM(F69:F74)</f>
        <v>126685443.65217391</v>
      </c>
      <c r="H75" s="234">
        <f>SUM(H69:H74)</f>
        <v>0</v>
      </c>
    </row>
    <row r="76" spans="1:9" x14ac:dyDescent="0.25">
      <c r="B76" s="132" t="s">
        <v>280</v>
      </c>
      <c r="C76" s="133"/>
      <c r="D76" s="171"/>
      <c r="E76" s="133"/>
      <c r="F76" s="134">
        <f>F75+F67+F53+F44+F35+F28+F20</f>
        <v>506391740.5783478</v>
      </c>
      <c r="H76" s="235">
        <f>H75+H67+H53+H44+H35+H28+H20</f>
        <v>77920067.5</v>
      </c>
      <c r="I76" s="231">
        <f>H76/F76</f>
        <v>0.15387310111141986</v>
      </c>
    </row>
    <row r="77" spans="1:9" x14ac:dyDescent="0.25">
      <c r="B77" s="135" t="s">
        <v>36</v>
      </c>
      <c r="C77" s="136"/>
      <c r="D77" s="172"/>
      <c r="E77" s="136"/>
      <c r="F77" s="137">
        <f>F76*0.18</f>
        <v>91150513.3041026</v>
      </c>
    </row>
    <row r="78" spans="1:9" x14ac:dyDescent="0.25">
      <c r="B78" s="138" t="s">
        <v>240</v>
      </c>
      <c r="C78" s="139"/>
      <c r="D78" s="173"/>
      <c r="E78" s="139"/>
      <c r="F78" s="137">
        <f>F76*0.01</f>
        <v>5063917.4057834782</v>
      </c>
    </row>
    <row r="79" spans="1:9" ht="15.75" thickBot="1" x14ac:dyDescent="0.3">
      <c r="B79" s="140" t="s">
        <v>287</v>
      </c>
      <c r="C79" s="141"/>
      <c r="D79" s="142"/>
      <c r="E79" s="142"/>
      <c r="F79" s="143">
        <f>F78+F77+F76</f>
        <v>602606171.28823388</v>
      </c>
    </row>
    <row r="81" spans="1:6" ht="30" customHeight="1" x14ac:dyDescent="0.25">
      <c r="A81" s="277" t="s">
        <v>405</v>
      </c>
      <c r="B81" s="277"/>
      <c r="C81" s="277"/>
      <c r="D81" s="277"/>
      <c r="E81" s="277"/>
      <c r="F81" s="277"/>
    </row>
    <row r="83" spans="1:6" ht="15.75" x14ac:dyDescent="0.25">
      <c r="A83" s="278" t="s">
        <v>386</v>
      </c>
      <c r="B83" s="278"/>
    </row>
    <row r="86" spans="1:6" ht="15.75" x14ac:dyDescent="0.25">
      <c r="A86" s="279" t="s">
        <v>292</v>
      </c>
      <c r="B86" s="279"/>
      <c r="C86" s="279"/>
    </row>
    <row r="88" spans="1:6" ht="15.75" x14ac:dyDescent="0.25">
      <c r="A88" s="279" t="s">
        <v>293</v>
      </c>
      <c r="B88" s="279"/>
    </row>
  </sheetData>
  <mergeCells count="12">
    <mergeCell ref="B45:F45"/>
    <mergeCell ref="A3:F3"/>
    <mergeCell ref="A5:F5"/>
    <mergeCell ref="A7:B7"/>
    <mergeCell ref="B21:D21"/>
    <mergeCell ref="B36:F36"/>
    <mergeCell ref="A81:F81"/>
    <mergeCell ref="A83:B83"/>
    <mergeCell ref="A86:C86"/>
    <mergeCell ref="A88:B88"/>
    <mergeCell ref="B54:F54"/>
    <mergeCell ref="B68:F68"/>
  </mergeCells>
  <phoneticPr fontId="20" type="noConversion"/>
  <pageMargins left="0.7" right="0.7" top="1.1212500000000001" bottom="0.75" header="0.3" footer="0.3"/>
  <pageSetup paperSize="9" scale="78" orientation="portrait" r:id="rId1"/>
  <headerFooter>
    <oddHeader>&amp;L&amp;G</oddHeader>
    <oddFooter>&amp;C&amp;G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Récap</vt:lpstr>
      <vt:lpstr>Phasage</vt:lpstr>
      <vt:lpstr>BATIMENT CENTRE DE PECHE</vt:lpstr>
      <vt:lpstr>RESTAURANT BAR</vt:lpstr>
      <vt:lpstr>VESTIAIRES</vt:lpstr>
      <vt:lpstr>CONSTRUCTION ROUTE</vt:lpstr>
      <vt:lpstr>'BATIMENT CENTRE DE PECHE'!Zone_d_impression</vt:lpstr>
      <vt:lpstr>'CONSTRUCTION ROUTE'!Zone_d_impression</vt:lpstr>
      <vt:lpstr>Récap!Zone_d_impression</vt:lpstr>
      <vt:lpstr>'RESTAURANT BAR'!Zone_d_impression</vt:lpstr>
      <vt:lpstr>VESTIAIRES!Zone_d_impression</vt:lpstr>
    </vt:vector>
  </TitlesOfParts>
  <Company>MP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Jérémie OMPINDI AKAGA</dc:creator>
  <cp:lastModifiedBy>Yvannis Trécy ALLOGO</cp:lastModifiedBy>
  <cp:lastPrinted>2025-05-07T12:16:48Z</cp:lastPrinted>
  <dcterms:created xsi:type="dcterms:W3CDTF">2024-07-02T08:47:19Z</dcterms:created>
  <dcterms:modified xsi:type="dcterms:W3CDTF">2026-02-12T06:57:16Z</dcterms:modified>
</cp:coreProperties>
</file>