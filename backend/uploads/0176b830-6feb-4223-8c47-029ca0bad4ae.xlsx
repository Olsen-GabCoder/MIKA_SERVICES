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kweme\Documents\1- DOSSIERS MARCHES\1- MARCHES PUBLICS\11- BERGE DE LA LOWE - Marché N°052-MTPC-SG-2025\Décomptes\"/>
    </mc:Choice>
  </mc:AlternateContent>
  <xr:revisionPtr revIDLastSave="0" documentId="13_ncr:1_{EE0D021B-E720-4517-9C88-61FE9CFA2E9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ttachement" sheetId="1" r:id="rId1"/>
    <sheet name="Décompte" sheetId="2" r:id="rId2"/>
  </sheets>
  <definedNames>
    <definedName name="_xlnm.Print_Area" localSheetId="0">Attachement!$A$1:$J$191</definedName>
    <definedName name="_xlnm.Print_Area" localSheetId="1">Décompte!$A$1:$P$238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0" i="2" l="1"/>
  <c r="K154" i="2"/>
  <c r="E180" i="2"/>
  <c r="E181" i="2"/>
  <c r="E182" i="2"/>
  <c r="E179" i="2"/>
  <c r="E165" i="2"/>
  <c r="E166" i="2"/>
  <c r="E164" i="2"/>
  <c r="E155" i="2"/>
  <c r="E156" i="2"/>
  <c r="E157" i="2"/>
  <c r="E158" i="2"/>
  <c r="E159" i="2"/>
  <c r="E160" i="2"/>
  <c r="E154" i="2"/>
  <c r="E144" i="2"/>
  <c r="E145" i="2"/>
  <c r="E146" i="2"/>
  <c r="E147" i="2"/>
  <c r="E148" i="2"/>
  <c r="E149" i="2"/>
  <c r="E150" i="2"/>
  <c r="E143" i="2"/>
  <c r="E134" i="2"/>
  <c r="E135" i="2"/>
  <c r="E136" i="2"/>
  <c r="E137" i="2"/>
  <c r="E138" i="2"/>
  <c r="E139" i="2"/>
  <c r="E133" i="2"/>
  <c r="E127" i="2"/>
  <c r="E128" i="2"/>
  <c r="E129" i="2"/>
  <c r="E126" i="2"/>
  <c r="E121" i="2"/>
  <c r="E122" i="2"/>
  <c r="E120" i="2"/>
  <c r="E111" i="2"/>
  <c r="E112" i="2"/>
  <c r="E113" i="2"/>
  <c r="E114" i="2"/>
  <c r="E115" i="2"/>
  <c r="E116" i="2"/>
  <c r="E110" i="2"/>
  <c r="E103" i="2"/>
  <c r="E104" i="2"/>
  <c r="E102" i="2"/>
  <c r="E97" i="2"/>
  <c r="E98" i="2"/>
  <c r="E96" i="2"/>
  <c r="E81" i="2"/>
  <c r="E82" i="2"/>
  <c r="E83" i="2"/>
  <c r="E84" i="2"/>
  <c r="E85" i="2"/>
  <c r="E86" i="2"/>
  <c r="E87" i="2"/>
  <c r="E88" i="2"/>
  <c r="E89" i="2"/>
  <c r="E80" i="2"/>
  <c r="E76" i="2"/>
  <c r="E70" i="2"/>
  <c r="E69" i="2"/>
  <c r="E65" i="2"/>
  <c r="E52" i="2"/>
  <c r="E53" i="2"/>
  <c r="E54" i="2"/>
  <c r="E55" i="2"/>
  <c r="E56" i="2"/>
  <c r="E57" i="2"/>
  <c r="E58" i="2"/>
  <c r="E59" i="2"/>
  <c r="E60" i="2"/>
  <c r="E61" i="2"/>
  <c r="E51" i="2"/>
  <c r="E42" i="2"/>
  <c r="E43" i="2"/>
  <c r="E44" i="2"/>
  <c r="E45" i="2"/>
  <c r="E46" i="2"/>
  <c r="E47" i="2"/>
  <c r="E41" i="2"/>
  <c r="E33" i="2"/>
  <c r="E34" i="2"/>
  <c r="E35" i="2"/>
  <c r="E36" i="2"/>
  <c r="E37" i="2"/>
  <c r="E32" i="2"/>
  <c r="E27" i="2"/>
  <c r="E28" i="2"/>
  <c r="E26" i="2"/>
  <c r="E17" i="2"/>
  <c r="E18" i="2"/>
  <c r="E19" i="2"/>
  <c r="E20" i="2"/>
  <c r="E21" i="2"/>
  <c r="E22" i="2"/>
  <c r="E16" i="2"/>
  <c r="K35" i="2" l="1"/>
  <c r="H105" i="1" l="1"/>
  <c r="I105" i="1" s="1"/>
  <c r="H106" i="1"/>
  <c r="H107" i="1"/>
  <c r="I107" i="1" s="1"/>
  <c r="H108" i="1"/>
  <c r="H109" i="1"/>
  <c r="I109" i="1" s="1"/>
  <c r="H110" i="1"/>
  <c r="J110" i="1" s="1"/>
  <c r="H111" i="1"/>
  <c r="I111" i="1" s="1"/>
  <c r="H115" i="1"/>
  <c r="I115" i="1" s="1"/>
  <c r="H116" i="1"/>
  <c r="I116" i="1" s="1"/>
  <c r="H117" i="1"/>
  <c r="J117" i="1" s="1"/>
  <c r="H121" i="1"/>
  <c r="I121" i="1" s="1"/>
  <c r="H122" i="1"/>
  <c r="H123" i="1"/>
  <c r="J123" i="1" s="1"/>
  <c r="H124" i="1"/>
  <c r="J124" i="1" s="1"/>
  <c r="H128" i="1"/>
  <c r="I128" i="1" s="1"/>
  <c r="H129" i="1"/>
  <c r="J129" i="1" s="1"/>
  <c r="H130" i="1"/>
  <c r="J130" i="1" s="1"/>
  <c r="H131" i="1"/>
  <c r="I131" i="1" s="1"/>
  <c r="H132" i="1"/>
  <c r="J132" i="1" s="1"/>
  <c r="H133" i="1"/>
  <c r="I133" i="1" s="1"/>
  <c r="H134" i="1"/>
  <c r="I134" i="1" s="1"/>
  <c r="H138" i="1"/>
  <c r="I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I144" i="1" s="1"/>
  <c r="H145" i="1"/>
  <c r="J145" i="1" s="1"/>
  <c r="H149" i="1"/>
  <c r="I149" i="1" s="1"/>
  <c r="H150" i="1"/>
  <c r="I150" i="1" s="1"/>
  <c r="H151" i="1"/>
  <c r="I151" i="1" s="1"/>
  <c r="H152" i="1"/>
  <c r="J152" i="1" s="1"/>
  <c r="H153" i="1"/>
  <c r="I153" i="1" s="1"/>
  <c r="H154" i="1"/>
  <c r="J154" i="1" s="1"/>
  <c r="H155" i="1"/>
  <c r="I155" i="1" s="1"/>
  <c r="H159" i="1"/>
  <c r="I159" i="1" s="1"/>
  <c r="H160" i="1"/>
  <c r="I160" i="1" s="1"/>
  <c r="H161" i="1"/>
  <c r="I161" i="1" s="1"/>
  <c r="H165" i="1"/>
  <c r="H166" i="1"/>
  <c r="H167" i="1"/>
  <c r="H168" i="1"/>
  <c r="H169" i="1"/>
  <c r="H170" i="1"/>
  <c r="H171" i="1"/>
  <c r="H172" i="1"/>
  <c r="H173" i="1"/>
  <c r="H177" i="1"/>
  <c r="J177" i="1" s="1"/>
  <c r="H178" i="1"/>
  <c r="I178" i="1" s="1"/>
  <c r="H179" i="1"/>
  <c r="J179" i="1" s="1"/>
  <c r="H180" i="1"/>
  <c r="I180" i="1" s="1"/>
  <c r="H72" i="1"/>
  <c r="I72" i="1" s="1"/>
  <c r="H79" i="1"/>
  <c r="J79" i="1" s="1"/>
  <c r="H80" i="1"/>
  <c r="J80" i="1" s="1"/>
  <c r="H81" i="1"/>
  <c r="I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98" i="1"/>
  <c r="I98" i="1" s="1"/>
  <c r="H99" i="1"/>
  <c r="I99" i="1" s="1"/>
  <c r="H100" i="1"/>
  <c r="J100" i="1" s="1"/>
  <c r="I117" i="2"/>
  <c r="I77" i="2"/>
  <c r="I23" i="2"/>
  <c r="H180" i="2"/>
  <c r="I180" i="2" s="1"/>
  <c r="H181" i="2"/>
  <c r="I181" i="2" s="1"/>
  <c r="H182" i="2"/>
  <c r="I182" i="2" s="1"/>
  <c r="H179" i="2"/>
  <c r="I179" i="2" s="1"/>
  <c r="H165" i="2"/>
  <c r="I165" i="2" s="1"/>
  <c r="H166" i="2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64" i="2"/>
  <c r="I16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54" i="2"/>
  <c r="I154" i="2" s="1"/>
  <c r="H144" i="2"/>
  <c r="H145" i="2"/>
  <c r="I145" i="2" s="1"/>
  <c r="H146" i="2"/>
  <c r="I146" i="2" s="1"/>
  <c r="H147" i="2"/>
  <c r="I147" i="2" s="1"/>
  <c r="H148" i="2"/>
  <c r="I148" i="2" s="1"/>
  <c r="H149" i="2"/>
  <c r="H150" i="2"/>
  <c r="I150" i="2" s="1"/>
  <c r="H143" i="2"/>
  <c r="I14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H133" i="2"/>
  <c r="I133" i="2" s="1"/>
  <c r="H127" i="2"/>
  <c r="I127" i="2" s="1"/>
  <c r="H128" i="2"/>
  <c r="I128" i="2" s="1"/>
  <c r="H129" i="2"/>
  <c r="I129" i="2" s="1"/>
  <c r="H126" i="2"/>
  <c r="I126" i="2" s="1"/>
  <c r="H121" i="2"/>
  <c r="I121" i="2" s="1"/>
  <c r="H122" i="2"/>
  <c r="I122" i="2" s="1"/>
  <c r="H120" i="2"/>
  <c r="I120" i="2" s="1"/>
  <c r="H111" i="2"/>
  <c r="H112" i="2"/>
  <c r="H113" i="2"/>
  <c r="H114" i="2"/>
  <c r="H115" i="2"/>
  <c r="H116" i="2"/>
  <c r="H110" i="2"/>
  <c r="H103" i="2"/>
  <c r="I103" i="2" s="1"/>
  <c r="H104" i="2"/>
  <c r="I104" i="2" s="1"/>
  <c r="H102" i="2"/>
  <c r="I102" i="2" s="1"/>
  <c r="H97" i="2"/>
  <c r="I97" i="2" s="1"/>
  <c r="H98" i="2"/>
  <c r="I98" i="2" s="1"/>
  <c r="H96" i="2"/>
  <c r="I96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80" i="2"/>
  <c r="I80" i="2" s="1"/>
  <c r="C1" i="2"/>
  <c r="H76" i="2"/>
  <c r="H70" i="2"/>
  <c r="H69" i="2"/>
  <c r="H65" i="2"/>
  <c r="H42" i="2"/>
  <c r="H43" i="2"/>
  <c r="H44" i="2"/>
  <c r="I44" i="2" s="1"/>
  <c r="H45" i="2"/>
  <c r="I45" i="2" s="1"/>
  <c r="H46" i="2"/>
  <c r="H47" i="2"/>
  <c r="H41" i="2"/>
  <c r="H33" i="2"/>
  <c r="I33" i="2" s="1"/>
  <c r="H34" i="2"/>
  <c r="I34" i="2" s="1"/>
  <c r="H35" i="2"/>
  <c r="I35" i="2" s="1"/>
  <c r="H36" i="2"/>
  <c r="I36" i="2" s="1"/>
  <c r="H37" i="2"/>
  <c r="I37" i="2" s="1"/>
  <c r="H32" i="2"/>
  <c r="I32" i="2" s="1"/>
  <c r="J32" i="2"/>
  <c r="H26" i="2"/>
  <c r="I26" i="2" s="1"/>
  <c r="H16" i="2"/>
  <c r="H22" i="2"/>
  <c r="H21" i="2"/>
  <c r="H20" i="2"/>
  <c r="H19" i="2"/>
  <c r="H18" i="2"/>
  <c r="H17" i="2"/>
  <c r="J182" i="2"/>
  <c r="J181" i="2"/>
  <c r="J180" i="2"/>
  <c r="J179" i="2"/>
  <c r="J165" i="2"/>
  <c r="J166" i="2"/>
  <c r="J167" i="2"/>
  <c r="K167" i="2" s="1"/>
  <c r="J168" i="2"/>
  <c r="K168" i="2" s="1"/>
  <c r="J169" i="2"/>
  <c r="J170" i="2"/>
  <c r="J171" i="2"/>
  <c r="K171" i="2" s="1"/>
  <c r="J172" i="2"/>
  <c r="J173" i="2"/>
  <c r="K173" i="2" s="1"/>
  <c r="J174" i="2"/>
  <c r="J175" i="2"/>
  <c r="K175" i="2" s="1"/>
  <c r="J164" i="2"/>
  <c r="J155" i="2"/>
  <c r="J156" i="2"/>
  <c r="K156" i="2" s="1"/>
  <c r="J157" i="2"/>
  <c r="K157" i="2" s="1"/>
  <c r="J158" i="2"/>
  <c r="J159" i="2"/>
  <c r="J160" i="2"/>
  <c r="J154" i="2"/>
  <c r="J144" i="2"/>
  <c r="K144" i="2" s="1"/>
  <c r="J145" i="2"/>
  <c r="J146" i="2"/>
  <c r="J147" i="2"/>
  <c r="J148" i="2"/>
  <c r="J149" i="2"/>
  <c r="K149" i="2" s="1"/>
  <c r="J150" i="2"/>
  <c r="K150" i="2" s="1"/>
  <c r="J143" i="2"/>
  <c r="K143" i="2" s="1"/>
  <c r="J134" i="2"/>
  <c r="J135" i="2"/>
  <c r="J136" i="2"/>
  <c r="J137" i="2"/>
  <c r="K137" i="2" s="1"/>
  <c r="J138" i="2"/>
  <c r="K138" i="2" s="1"/>
  <c r="J139" i="2"/>
  <c r="K139" i="2" s="1"/>
  <c r="J133" i="2"/>
  <c r="J127" i="2"/>
  <c r="K127" i="2" s="1"/>
  <c r="J128" i="2"/>
  <c r="K128" i="2" s="1"/>
  <c r="J129" i="2"/>
  <c r="J126" i="2"/>
  <c r="J121" i="2"/>
  <c r="J122" i="2"/>
  <c r="J120" i="2"/>
  <c r="J111" i="2"/>
  <c r="J112" i="2"/>
  <c r="J113" i="2"/>
  <c r="J114" i="2"/>
  <c r="J115" i="2"/>
  <c r="J116" i="2"/>
  <c r="J110" i="2"/>
  <c r="J103" i="2"/>
  <c r="K103" i="2" s="1"/>
  <c r="J104" i="2"/>
  <c r="J102" i="2"/>
  <c r="J97" i="2"/>
  <c r="J98" i="2"/>
  <c r="K98" i="2" s="1"/>
  <c r="J96" i="2"/>
  <c r="J81" i="2"/>
  <c r="K81" i="2" s="1"/>
  <c r="J82" i="2"/>
  <c r="K82" i="2" s="1"/>
  <c r="J83" i="2"/>
  <c r="J84" i="2"/>
  <c r="J85" i="2"/>
  <c r="J86" i="2"/>
  <c r="J87" i="2"/>
  <c r="K87" i="2" s="1"/>
  <c r="J88" i="2"/>
  <c r="J89" i="2"/>
  <c r="J80" i="2"/>
  <c r="J76" i="2"/>
  <c r="J70" i="2"/>
  <c r="J69" i="2"/>
  <c r="J65" i="2"/>
  <c r="J52" i="2"/>
  <c r="J53" i="2"/>
  <c r="J54" i="2"/>
  <c r="J55" i="2"/>
  <c r="J56" i="2"/>
  <c r="J57" i="2"/>
  <c r="J58" i="2"/>
  <c r="J59" i="2"/>
  <c r="J60" i="2"/>
  <c r="K60" i="2" s="1"/>
  <c r="J61" i="2"/>
  <c r="J51" i="2"/>
  <c r="J42" i="2"/>
  <c r="J43" i="2"/>
  <c r="J44" i="2"/>
  <c r="J45" i="2"/>
  <c r="J46" i="2"/>
  <c r="J47" i="2"/>
  <c r="J41" i="2"/>
  <c r="J33" i="2"/>
  <c r="J34" i="2"/>
  <c r="J35" i="2"/>
  <c r="J36" i="2"/>
  <c r="J37" i="2"/>
  <c r="J27" i="2"/>
  <c r="J28" i="2"/>
  <c r="J26" i="2"/>
  <c r="H94" i="1"/>
  <c r="J94" i="1" s="1"/>
  <c r="H93" i="1"/>
  <c r="H92" i="1"/>
  <c r="J92" i="1" s="1"/>
  <c r="H14" i="1"/>
  <c r="I14" i="1" s="1"/>
  <c r="H15" i="1"/>
  <c r="J15" i="1" s="1"/>
  <c r="H16" i="1"/>
  <c r="J16" i="1" s="1"/>
  <c r="H17" i="1"/>
  <c r="I17" i="1" s="1"/>
  <c r="H18" i="1"/>
  <c r="I18" i="1" s="1"/>
  <c r="H19" i="1"/>
  <c r="I19" i="1" s="1"/>
  <c r="H20" i="1"/>
  <c r="I20" i="1" s="1"/>
  <c r="H24" i="1"/>
  <c r="I24" i="1" s="1"/>
  <c r="H25" i="1"/>
  <c r="J25" i="1" s="1"/>
  <c r="H26" i="1"/>
  <c r="I26" i="1" s="1"/>
  <c r="H30" i="1"/>
  <c r="J30" i="1" s="1"/>
  <c r="H31" i="1"/>
  <c r="H32" i="1"/>
  <c r="I32" i="1" s="1"/>
  <c r="H33" i="1"/>
  <c r="J33" i="1" s="1"/>
  <c r="H34" i="1"/>
  <c r="I34" i="1" s="1"/>
  <c r="H35" i="1"/>
  <c r="I35" i="1" s="1"/>
  <c r="H39" i="1"/>
  <c r="J39" i="1" s="1"/>
  <c r="H40" i="1"/>
  <c r="I40" i="1" s="1"/>
  <c r="H41" i="1"/>
  <c r="J41" i="1" s="1"/>
  <c r="H42" i="1"/>
  <c r="J42" i="1" s="1"/>
  <c r="H43" i="1"/>
  <c r="I43" i="1" s="1"/>
  <c r="H44" i="1"/>
  <c r="I44" i="1" s="1"/>
  <c r="H45" i="1"/>
  <c r="I45" i="1" s="1"/>
  <c r="H49" i="1"/>
  <c r="I49" i="1" s="1"/>
  <c r="H50" i="1"/>
  <c r="I50" i="1" s="1"/>
  <c r="H51" i="1"/>
  <c r="I51" i="1" s="1"/>
  <c r="H52" i="1"/>
  <c r="J52" i="1" s="1"/>
  <c r="H53" i="1"/>
  <c r="J53" i="1" s="1"/>
  <c r="H54" i="1"/>
  <c r="H55" i="1"/>
  <c r="H56" i="1"/>
  <c r="H57" i="1"/>
  <c r="J57" i="1" s="1"/>
  <c r="H58" i="1"/>
  <c r="I58" i="1" s="1"/>
  <c r="H59" i="1"/>
  <c r="J59" i="1" s="1"/>
  <c r="H63" i="1"/>
  <c r="I63" i="1" s="1"/>
  <c r="H66" i="1"/>
  <c r="J66" i="1" s="1"/>
  <c r="H67" i="1"/>
  <c r="J67" i="1" s="1"/>
  <c r="G182" i="2"/>
  <c r="G181" i="2"/>
  <c r="G180" i="2"/>
  <c r="G179" i="2"/>
  <c r="G171" i="2"/>
  <c r="G170" i="2"/>
  <c r="G169" i="2"/>
  <c r="G168" i="2"/>
  <c r="G167" i="2"/>
  <c r="G174" i="2"/>
  <c r="G173" i="2"/>
  <c r="G172" i="2"/>
  <c r="I166" i="2"/>
  <c r="G166" i="2"/>
  <c r="G175" i="2"/>
  <c r="G157" i="2"/>
  <c r="G156" i="2"/>
  <c r="G155" i="2"/>
  <c r="G160" i="2"/>
  <c r="G159" i="2"/>
  <c r="G158" i="2"/>
  <c r="G154" i="2"/>
  <c r="G55" i="2"/>
  <c r="G136" i="2"/>
  <c r="G135" i="2"/>
  <c r="G134" i="2"/>
  <c r="G110" i="2"/>
  <c r="G111" i="2"/>
  <c r="G112" i="2"/>
  <c r="G113" i="2"/>
  <c r="G114" i="2"/>
  <c r="G115" i="2"/>
  <c r="G116" i="2"/>
  <c r="G165" i="2"/>
  <c r="G164" i="2"/>
  <c r="G150" i="2"/>
  <c r="G149" i="2"/>
  <c r="G148" i="2"/>
  <c r="G147" i="2"/>
  <c r="G146" i="2"/>
  <c r="G145" i="2"/>
  <c r="G144" i="2"/>
  <c r="G143" i="2"/>
  <c r="G139" i="2"/>
  <c r="G138" i="2"/>
  <c r="G137" i="2"/>
  <c r="G133" i="2"/>
  <c r="G129" i="2"/>
  <c r="G128" i="2"/>
  <c r="G127" i="2"/>
  <c r="G126" i="2"/>
  <c r="G122" i="2"/>
  <c r="G121" i="2"/>
  <c r="G120" i="2"/>
  <c r="G89" i="2"/>
  <c r="G88" i="2"/>
  <c r="G87" i="2"/>
  <c r="G86" i="2"/>
  <c r="G85" i="2"/>
  <c r="G84" i="2"/>
  <c r="G83" i="2"/>
  <c r="G82" i="2"/>
  <c r="G81" i="2"/>
  <c r="G80" i="2"/>
  <c r="G76" i="2"/>
  <c r="G104" i="2"/>
  <c r="G103" i="2"/>
  <c r="G102" i="2"/>
  <c r="G98" i="2"/>
  <c r="G97" i="2"/>
  <c r="G96" i="2"/>
  <c r="G33" i="2"/>
  <c r="H60" i="2"/>
  <c r="I60" i="2" s="1"/>
  <c r="G60" i="2"/>
  <c r="H59" i="2"/>
  <c r="I59" i="2" s="1"/>
  <c r="G59" i="2"/>
  <c r="H58" i="2"/>
  <c r="I58" i="2" s="1"/>
  <c r="G58" i="2"/>
  <c r="H57" i="2"/>
  <c r="I57" i="2" s="1"/>
  <c r="G57" i="2"/>
  <c r="G45" i="2"/>
  <c r="G44" i="2"/>
  <c r="G17" i="2"/>
  <c r="G18" i="2"/>
  <c r="G19" i="2"/>
  <c r="G20" i="2"/>
  <c r="G21" i="2"/>
  <c r="G22" i="2"/>
  <c r="G16" i="2"/>
  <c r="J107" i="1" l="1"/>
  <c r="J111" i="1"/>
  <c r="J151" i="1"/>
  <c r="I142" i="1"/>
  <c r="I179" i="1"/>
  <c r="J134" i="1"/>
  <c r="I88" i="1"/>
  <c r="I129" i="1"/>
  <c r="I141" i="1"/>
  <c r="I154" i="1"/>
  <c r="I145" i="1"/>
  <c r="J131" i="1"/>
  <c r="I132" i="1"/>
  <c r="I177" i="1"/>
  <c r="I123" i="1"/>
  <c r="J161" i="1"/>
  <c r="I152" i="1"/>
  <c r="I143" i="1"/>
  <c r="I117" i="1"/>
  <c r="I139" i="1"/>
  <c r="J159" i="1"/>
  <c r="I140" i="1"/>
  <c r="I183" i="2"/>
  <c r="J72" i="1"/>
  <c r="J128" i="1"/>
  <c r="I161" i="2"/>
  <c r="I130" i="1"/>
  <c r="J153" i="1"/>
  <c r="J150" i="1"/>
  <c r="J116" i="1"/>
  <c r="I123" i="2"/>
  <c r="I79" i="1"/>
  <c r="J178" i="1"/>
  <c r="J155" i="1"/>
  <c r="J144" i="1"/>
  <c r="J133" i="1"/>
  <c r="J121" i="1"/>
  <c r="I130" i="2"/>
  <c r="I87" i="1"/>
  <c r="J115" i="1"/>
  <c r="J109" i="1"/>
  <c r="J105" i="1"/>
  <c r="J180" i="1"/>
  <c r="J160" i="1"/>
  <c r="J149" i="1"/>
  <c r="J138" i="1"/>
  <c r="I176" i="2"/>
  <c r="I80" i="1"/>
  <c r="J81" i="1"/>
  <c r="I100" i="1"/>
  <c r="L111" i="2"/>
  <c r="O111" i="2" s="1"/>
  <c r="J99" i="1"/>
  <c r="L110" i="2"/>
  <c r="O110" i="2" s="1"/>
  <c r="J98" i="1"/>
  <c r="L76" i="2"/>
  <c r="O76" i="2" s="1"/>
  <c r="J22" i="2"/>
  <c r="J21" i="2"/>
  <c r="I105" i="2"/>
  <c r="I99" i="2"/>
  <c r="L114" i="2"/>
  <c r="O114" i="2" s="1"/>
  <c r="L112" i="2"/>
  <c r="O112" i="2" s="1"/>
  <c r="J16" i="2"/>
  <c r="I38" i="2"/>
  <c r="J17" i="2"/>
  <c r="I90" i="2"/>
  <c r="L113" i="2"/>
  <c r="O113" i="2" s="1"/>
  <c r="J20" i="2"/>
  <c r="L116" i="2"/>
  <c r="O116" i="2" s="1"/>
  <c r="J19" i="2"/>
  <c r="L115" i="2"/>
  <c r="O115" i="2" s="1"/>
  <c r="J18" i="2"/>
  <c r="J44" i="1"/>
  <c r="J63" i="1"/>
  <c r="J18" i="1"/>
  <c r="J35" i="1"/>
  <c r="I66" i="1"/>
  <c r="I39" i="1"/>
  <c r="I59" i="1"/>
  <c r="I52" i="1"/>
  <c r="I25" i="1"/>
  <c r="I57" i="1"/>
  <c r="J51" i="1"/>
  <c r="I42" i="1"/>
  <c r="I15" i="1"/>
  <c r="I94" i="1"/>
  <c r="J55" i="1"/>
  <c r="J50" i="1"/>
  <c r="J20" i="1"/>
  <c r="I67" i="1"/>
  <c r="I92" i="1"/>
  <c r="J58" i="1"/>
  <c r="I16" i="1"/>
  <c r="J49" i="1"/>
  <c r="J26" i="1"/>
  <c r="I41" i="1"/>
  <c r="J32" i="1"/>
  <c r="J54" i="1"/>
  <c r="J43" i="1"/>
  <c r="J40" i="1"/>
  <c r="I30" i="1"/>
  <c r="J24" i="1"/>
  <c r="J14" i="1"/>
  <c r="J17" i="1"/>
  <c r="J56" i="1"/>
  <c r="J45" i="1"/>
  <c r="J34" i="1"/>
  <c r="J19" i="1"/>
  <c r="K44" i="2"/>
  <c r="M44" i="2" s="1"/>
  <c r="N44" i="2" s="1"/>
  <c r="L84" i="2"/>
  <c r="O84" i="2" s="1"/>
  <c r="K102" i="2"/>
  <c r="K165" i="2"/>
  <c r="M165" i="2" s="1"/>
  <c r="G183" i="2"/>
  <c r="L180" i="2"/>
  <c r="O180" i="2" s="1"/>
  <c r="L181" i="2"/>
  <c r="O181" i="2" s="1"/>
  <c r="G176" i="2"/>
  <c r="L179" i="2"/>
  <c r="O179" i="2" s="1"/>
  <c r="K181" i="2"/>
  <c r="M181" i="2" s="1"/>
  <c r="N181" i="2" s="1"/>
  <c r="L170" i="2"/>
  <c r="O170" i="2" s="1"/>
  <c r="K180" i="2"/>
  <c r="M180" i="2" s="1"/>
  <c r="P180" i="2" s="1"/>
  <c r="L173" i="2"/>
  <c r="O173" i="2" s="1"/>
  <c r="L144" i="2"/>
  <c r="O144" i="2" s="1"/>
  <c r="L182" i="2"/>
  <c r="O182" i="2" s="1"/>
  <c r="K179" i="2"/>
  <c r="K182" i="2"/>
  <c r="M182" i="2" s="1"/>
  <c r="P182" i="2" s="1"/>
  <c r="K170" i="2"/>
  <c r="M170" i="2" s="1"/>
  <c r="M167" i="2"/>
  <c r="L169" i="2"/>
  <c r="O169" i="2" s="1"/>
  <c r="M171" i="2"/>
  <c r="P171" i="2" s="1"/>
  <c r="M168" i="2"/>
  <c r="L172" i="2"/>
  <c r="O172" i="2" s="1"/>
  <c r="L174" i="2"/>
  <c r="O174" i="2" s="1"/>
  <c r="L168" i="2"/>
  <c r="O168" i="2" s="1"/>
  <c r="L167" i="2"/>
  <c r="O167" i="2" s="1"/>
  <c r="L171" i="2"/>
  <c r="O171" i="2" s="1"/>
  <c r="K169" i="2"/>
  <c r="M169" i="2" s="1"/>
  <c r="M173" i="2"/>
  <c r="P173" i="2" s="1"/>
  <c r="L175" i="2"/>
  <c r="O175" i="2" s="1"/>
  <c r="K174" i="2"/>
  <c r="M174" i="2" s="1"/>
  <c r="K172" i="2"/>
  <c r="M172" i="2" s="1"/>
  <c r="M175" i="2"/>
  <c r="G161" i="2"/>
  <c r="L159" i="2"/>
  <c r="O159" i="2" s="1"/>
  <c r="G151" i="2"/>
  <c r="L158" i="2"/>
  <c r="O158" i="2" s="1"/>
  <c r="L157" i="2"/>
  <c r="O157" i="2" s="1"/>
  <c r="L156" i="2"/>
  <c r="O156" i="2" s="1"/>
  <c r="K159" i="2"/>
  <c r="M159" i="2" s="1"/>
  <c r="N159" i="2" s="1"/>
  <c r="L154" i="2"/>
  <c r="O154" i="2" s="1"/>
  <c r="M156" i="2"/>
  <c r="P156" i="2" s="1"/>
  <c r="M157" i="2"/>
  <c r="P157" i="2" s="1"/>
  <c r="L139" i="2"/>
  <c r="O139" i="2" s="1"/>
  <c r="L160" i="2"/>
  <c r="O160" i="2" s="1"/>
  <c r="L134" i="2"/>
  <c r="O134" i="2" s="1"/>
  <c r="K160" i="2"/>
  <c r="M160" i="2" s="1"/>
  <c r="P160" i="2" s="1"/>
  <c r="K158" i="2"/>
  <c r="M158" i="2" s="1"/>
  <c r="N158" i="2" s="1"/>
  <c r="L135" i="2"/>
  <c r="O135" i="2" s="1"/>
  <c r="L136" i="2"/>
  <c r="O136" i="2" s="1"/>
  <c r="K135" i="2"/>
  <c r="M135" i="2" s="1"/>
  <c r="K136" i="2"/>
  <c r="M136" i="2" s="1"/>
  <c r="N136" i="2" s="1"/>
  <c r="L145" i="2"/>
  <c r="O145" i="2" s="1"/>
  <c r="K134" i="2"/>
  <c r="M134" i="2" s="1"/>
  <c r="N134" i="2" s="1"/>
  <c r="L121" i="2"/>
  <c r="O121" i="2" s="1"/>
  <c r="L149" i="2"/>
  <c r="O149" i="2" s="1"/>
  <c r="L133" i="2"/>
  <c r="O133" i="2" s="1"/>
  <c r="K110" i="2"/>
  <c r="K114" i="2"/>
  <c r="M114" i="2" s="1"/>
  <c r="P114" i="2" s="1"/>
  <c r="L147" i="2"/>
  <c r="O147" i="2" s="1"/>
  <c r="K145" i="2"/>
  <c r="M145" i="2" s="1"/>
  <c r="L120" i="2"/>
  <c r="O120" i="2" s="1"/>
  <c r="K115" i="2"/>
  <c r="M115" i="2" s="1"/>
  <c r="N115" i="2" s="1"/>
  <c r="L122" i="2"/>
  <c r="O122" i="2" s="1"/>
  <c r="L150" i="2"/>
  <c r="O150" i="2" s="1"/>
  <c r="K120" i="2"/>
  <c r="L148" i="2"/>
  <c r="O148" i="2" s="1"/>
  <c r="K112" i="2"/>
  <c r="M112" i="2" s="1"/>
  <c r="P112" i="2" s="1"/>
  <c r="K133" i="2"/>
  <c r="L146" i="2"/>
  <c r="O146" i="2" s="1"/>
  <c r="K113" i="2"/>
  <c r="M113" i="2" s="1"/>
  <c r="P113" i="2" s="1"/>
  <c r="K121" i="2"/>
  <c r="M121" i="2" s="1"/>
  <c r="N121" i="2" s="1"/>
  <c r="K111" i="2"/>
  <c r="M111" i="2" s="1"/>
  <c r="P111" i="2" s="1"/>
  <c r="K116" i="2"/>
  <c r="M116" i="2" s="1"/>
  <c r="P116" i="2" s="1"/>
  <c r="G130" i="2"/>
  <c r="L164" i="2"/>
  <c r="O164" i="2" s="1"/>
  <c r="L129" i="2"/>
  <c r="O129" i="2" s="1"/>
  <c r="G123" i="2"/>
  <c r="M150" i="2"/>
  <c r="P150" i="2" s="1"/>
  <c r="M128" i="2"/>
  <c r="N128" i="2" s="1"/>
  <c r="G117" i="2"/>
  <c r="L126" i="2"/>
  <c r="O126" i="2" s="1"/>
  <c r="K126" i="2"/>
  <c r="M137" i="2"/>
  <c r="N137" i="2" s="1"/>
  <c r="G140" i="2"/>
  <c r="M127" i="2"/>
  <c r="M143" i="2"/>
  <c r="M138" i="2"/>
  <c r="N138" i="2" s="1"/>
  <c r="L137" i="2"/>
  <c r="O137" i="2" s="1"/>
  <c r="L127" i="2"/>
  <c r="K147" i="2"/>
  <c r="M147" i="2" s="1"/>
  <c r="P147" i="2" s="1"/>
  <c r="K164" i="2"/>
  <c r="K129" i="2"/>
  <c r="M129" i="2" s="1"/>
  <c r="L138" i="2"/>
  <c r="O138" i="2" s="1"/>
  <c r="L143" i="2"/>
  <c r="O143" i="2" s="1"/>
  <c r="K148" i="2"/>
  <c r="M148" i="2" s="1"/>
  <c r="P148" i="2" s="1"/>
  <c r="K122" i="2"/>
  <c r="M122" i="2" s="1"/>
  <c r="K146" i="2"/>
  <c r="M146" i="2" s="1"/>
  <c r="L128" i="2"/>
  <c r="O128" i="2" s="1"/>
  <c r="I139" i="2"/>
  <c r="M139" i="2" s="1"/>
  <c r="N139" i="2" s="1"/>
  <c r="I144" i="2"/>
  <c r="M144" i="2" s="1"/>
  <c r="N144" i="2" s="1"/>
  <c r="I149" i="2"/>
  <c r="M149" i="2" s="1"/>
  <c r="P149" i="2" s="1"/>
  <c r="G90" i="2"/>
  <c r="L85" i="2"/>
  <c r="O85" i="2" s="1"/>
  <c r="K85" i="2"/>
  <c r="M85" i="2" s="1"/>
  <c r="L88" i="2"/>
  <c r="O88" i="2" s="1"/>
  <c r="M87" i="2"/>
  <c r="L87" i="2"/>
  <c r="O87" i="2" s="1"/>
  <c r="L82" i="2"/>
  <c r="O82" i="2" s="1"/>
  <c r="L98" i="2"/>
  <c r="O98" i="2" s="1"/>
  <c r="K88" i="2"/>
  <c r="M88" i="2" s="1"/>
  <c r="L83" i="2"/>
  <c r="O83" i="2" s="1"/>
  <c r="M82" i="2"/>
  <c r="N82" i="2" s="1"/>
  <c r="K83" i="2"/>
  <c r="M83" i="2" s="1"/>
  <c r="L97" i="2"/>
  <c r="L104" i="2"/>
  <c r="O104" i="2" s="1"/>
  <c r="M103" i="2"/>
  <c r="N103" i="2" s="1"/>
  <c r="M98" i="2"/>
  <c r="N98" i="2" s="1"/>
  <c r="K76" i="2"/>
  <c r="K97" i="2"/>
  <c r="M97" i="2" s="1"/>
  <c r="P97" i="2" s="1"/>
  <c r="L103" i="2"/>
  <c r="O103" i="2" s="1"/>
  <c r="L80" i="2"/>
  <c r="O80" i="2" s="1"/>
  <c r="G99" i="2"/>
  <c r="K80" i="2"/>
  <c r="G77" i="2"/>
  <c r="G105" i="2"/>
  <c r="M81" i="2"/>
  <c r="K104" i="2"/>
  <c r="M104" i="2" s="1"/>
  <c r="N104" i="2" s="1"/>
  <c r="L81" i="2"/>
  <c r="O81" i="2" s="1"/>
  <c r="L59" i="2"/>
  <c r="O59" i="2" s="1"/>
  <c r="L57" i="2"/>
  <c r="O57" i="2" s="1"/>
  <c r="L58" i="2"/>
  <c r="O58" i="2" s="1"/>
  <c r="K59" i="2"/>
  <c r="M59" i="2" s="1"/>
  <c r="N59" i="2" s="1"/>
  <c r="M60" i="2"/>
  <c r="P60" i="2" s="1"/>
  <c r="L60" i="2"/>
  <c r="O60" i="2" s="1"/>
  <c r="K57" i="2"/>
  <c r="M57" i="2" s="1"/>
  <c r="K58" i="2"/>
  <c r="M58" i="2" s="1"/>
  <c r="L45" i="2"/>
  <c r="O45" i="2" s="1"/>
  <c r="K45" i="2"/>
  <c r="M45" i="2" s="1"/>
  <c r="N45" i="2" s="1"/>
  <c r="M151" i="2" l="1"/>
  <c r="N151" i="2" s="1"/>
  <c r="K183" i="2"/>
  <c r="K151" i="2"/>
  <c r="K130" i="2"/>
  <c r="I140" i="2"/>
  <c r="I151" i="2"/>
  <c r="M133" i="2"/>
  <c r="N133" i="2" s="1"/>
  <c r="K140" i="2"/>
  <c r="M120" i="2"/>
  <c r="N120" i="2" s="1"/>
  <c r="K123" i="2"/>
  <c r="M102" i="2"/>
  <c r="M105" i="2" s="1"/>
  <c r="N105" i="2" s="1"/>
  <c r="K105" i="2"/>
  <c r="M76" i="2"/>
  <c r="K77" i="2"/>
  <c r="M110" i="2"/>
  <c r="P110" i="2" s="1"/>
  <c r="K117" i="2"/>
  <c r="L165" i="2"/>
  <c r="O165" i="2" s="1"/>
  <c r="L44" i="2"/>
  <c r="O44" i="2" s="1"/>
  <c r="L102" i="2"/>
  <c r="O102" i="2" s="1"/>
  <c r="K84" i="2"/>
  <c r="M84" i="2" s="1"/>
  <c r="P84" i="2" s="1"/>
  <c r="G184" i="2"/>
  <c r="M164" i="2"/>
  <c r="M179" i="2"/>
  <c r="M183" i="2" s="1"/>
  <c r="P82" i="2"/>
  <c r="P181" i="2"/>
  <c r="P170" i="2"/>
  <c r="P167" i="2"/>
  <c r="P169" i="2"/>
  <c r="P168" i="2"/>
  <c r="P174" i="2"/>
  <c r="P172" i="2"/>
  <c r="P175" i="2"/>
  <c r="M154" i="2"/>
  <c r="P159" i="2"/>
  <c r="P158" i="2"/>
  <c r="P129" i="2"/>
  <c r="N129" i="2"/>
  <c r="P127" i="2"/>
  <c r="N127" i="2"/>
  <c r="P122" i="2"/>
  <c r="N122" i="2"/>
  <c r="P115" i="2"/>
  <c r="P134" i="2"/>
  <c r="P135" i="2"/>
  <c r="N135" i="2"/>
  <c r="P136" i="2"/>
  <c r="P85" i="2"/>
  <c r="P87" i="2"/>
  <c r="N145" i="2"/>
  <c r="P145" i="2"/>
  <c r="N114" i="2"/>
  <c r="N116" i="2"/>
  <c r="N113" i="2"/>
  <c r="P128" i="2"/>
  <c r="N111" i="2"/>
  <c r="N112" i="2"/>
  <c r="P137" i="2"/>
  <c r="P121" i="2"/>
  <c r="P146" i="2"/>
  <c r="N146" i="2"/>
  <c r="N143" i="2"/>
  <c r="P143" i="2"/>
  <c r="P138" i="2"/>
  <c r="M126" i="2"/>
  <c r="M130" i="2" s="1"/>
  <c r="P144" i="2"/>
  <c r="G106" i="2"/>
  <c r="I106" i="2"/>
  <c r="P139" i="2"/>
  <c r="P165" i="2"/>
  <c r="P98" i="2"/>
  <c r="P88" i="2"/>
  <c r="N88" i="2"/>
  <c r="P103" i="2"/>
  <c r="P83" i="2"/>
  <c r="N60" i="2"/>
  <c r="P104" i="2"/>
  <c r="N81" i="2"/>
  <c r="P81" i="2"/>
  <c r="P44" i="2"/>
  <c r="P59" i="2"/>
  <c r="M80" i="2"/>
  <c r="P58" i="2"/>
  <c r="P57" i="2"/>
  <c r="P45" i="2"/>
  <c r="P117" i="2" l="1"/>
  <c r="P76" i="2"/>
  <c r="P77" i="2" s="1"/>
  <c r="M77" i="2"/>
  <c r="P102" i="2"/>
  <c r="P105" i="2" s="1"/>
  <c r="N110" i="2"/>
  <c r="M117" i="2"/>
  <c r="N117" i="2" s="1"/>
  <c r="N102" i="2"/>
  <c r="P154" i="2"/>
  <c r="P120" i="2"/>
  <c r="P123" i="2" s="1"/>
  <c r="M123" i="2"/>
  <c r="N123" i="2" s="1"/>
  <c r="N76" i="2"/>
  <c r="P164" i="2"/>
  <c r="P133" i="2"/>
  <c r="P140" i="2" s="1"/>
  <c r="M140" i="2"/>
  <c r="N140" i="2" s="1"/>
  <c r="K86" i="2"/>
  <c r="K90" i="2" s="1"/>
  <c r="L86" i="2"/>
  <c r="O86" i="2" s="1"/>
  <c r="K96" i="2"/>
  <c r="K99" i="2" s="1"/>
  <c r="L96" i="2"/>
  <c r="O96" i="2" s="1"/>
  <c r="K89" i="2"/>
  <c r="M89" i="2" s="1"/>
  <c r="L89" i="2"/>
  <c r="O89" i="2" s="1"/>
  <c r="K166" i="2"/>
  <c r="K176" i="2" s="1"/>
  <c r="L166" i="2"/>
  <c r="O166" i="2" s="1"/>
  <c r="L155" i="2"/>
  <c r="O155" i="2" s="1"/>
  <c r="K155" i="2"/>
  <c r="K161" i="2" s="1"/>
  <c r="N179" i="2"/>
  <c r="N183" i="2"/>
  <c r="P179" i="2"/>
  <c r="P183" i="2" s="1"/>
  <c r="N164" i="2"/>
  <c r="N154" i="2"/>
  <c r="I184" i="2"/>
  <c r="P151" i="2"/>
  <c r="P126" i="2"/>
  <c r="P130" i="2" s="1"/>
  <c r="N126" i="2"/>
  <c r="N130" i="2"/>
  <c r="N80" i="2"/>
  <c r="P80" i="2"/>
  <c r="N77" i="2"/>
  <c r="M166" i="2" l="1"/>
  <c r="M176" i="2" s="1"/>
  <c r="M96" i="2"/>
  <c r="M99" i="2" s="1"/>
  <c r="M86" i="2"/>
  <c r="M90" i="2" s="1"/>
  <c r="N89" i="2"/>
  <c r="P89" i="2"/>
  <c r="M155" i="2"/>
  <c r="M161" i="2" s="1"/>
  <c r="K106" i="2" l="1"/>
  <c r="N99" i="2"/>
  <c r="N96" i="2"/>
  <c r="P96" i="2"/>
  <c r="P99" i="2" s="1"/>
  <c r="N166" i="2"/>
  <c r="P166" i="2"/>
  <c r="P176" i="2" s="1"/>
  <c r="N176" i="2"/>
  <c r="N155" i="2"/>
  <c r="P155" i="2"/>
  <c r="P161" i="2" s="1"/>
  <c r="N161" i="2"/>
  <c r="P86" i="2"/>
  <c r="P90" i="2" s="1"/>
  <c r="K184" i="2"/>
  <c r="P184" i="2" l="1"/>
  <c r="P106" i="2"/>
  <c r="N90" i="2"/>
  <c r="M106" i="2"/>
  <c r="N106" i="2" s="1"/>
  <c r="M184" i="2"/>
  <c r="N184" i="2" s="1"/>
  <c r="A6" i="2" l="1"/>
  <c r="I65" i="2"/>
  <c r="I66" i="2" s="1"/>
  <c r="H52" i="2"/>
  <c r="H53" i="2"/>
  <c r="H54" i="2"/>
  <c r="H55" i="2"/>
  <c r="H56" i="2"/>
  <c r="H61" i="2"/>
  <c r="H51" i="2"/>
  <c r="H27" i="2"/>
  <c r="I27" i="2" s="1"/>
  <c r="H28" i="2"/>
  <c r="I28" i="2" s="1"/>
  <c r="I29" i="2" l="1"/>
  <c r="L65" i="2" l="1"/>
  <c r="I42" i="2" l="1"/>
  <c r="I43" i="2"/>
  <c r="I46" i="2"/>
  <c r="I47" i="2"/>
  <c r="I41" i="2"/>
  <c r="L17" i="2"/>
  <c r="L18" i="2"/>
  <c r="L19" i="2"/>
  <c r="L20" i="2"/>
  <c r="L21" i="2"/>
  <c r="L22" i="2"/>
  <c r="L16" i="2"/>
  <c r="I48" i="2" l="1"/>
  <c r="I69" i="2" l="1"/>
  <c r="I70" i="2"/>
  <c r="I71" i="2" l="1"/>
  <c r="K41" i="2"/>
  <c r="K42" i="2"/>
  <c r="M42" i="2" s="1"/>
  <c r="K69" i="2"/>
  <c r="K65" i="2"/>
  <c r="K66" i="2" s="1"/>
  <c r="L70" i="2"/>
  <c r="O70" i="2" s="1"/>
  <c r="K70" i="2"/>
  <c r="M70" i="2" s="1"/>
  <c r="G70" i="2"/>
  <c r="G69" i="2"/>
  <c r="G65" i="2"/>
  <c r="G66" i="2" s="1"/>
  <c r="G61" i="2"/>
  <c r="G56" i="2"/>
  <c r="G54" i="2"/>
  <c r="G53" i="2"/>
  <c r="G52" i="2"/>
  <c r="G51" i="2"/>
  <c r="G62" i="2" s="1"/>
  <c r="L41" i="2"/>
  <c r="O41" i="2" s="1"/>
  <c r="L42" i="2"/>
  <c r="O42" i="2" s="1"/>
  <c r="G47" i="2"/>
  <c r="G46" i="2"/>
  <c r="G43" i="2"/>
  <c r="G42" i="2"/>
  <c r="G41" i="2"/>
  <c r="G48" i="2" s="1"/>
  <c r="L27" i="2"/>
  <c r="O27" i="2" s="1"/>
  <c r="L26" i="2"/>
  <c r="O26" i="2" s="1"/>
  <c r="G37" i="2"/>
  <c r="G36" i="2"/>
  <c r="G35" i="2"/>
  <c r="G34" i="2"/>
  <c r="G32" i="2"/>
  <c r="L28" i="2"/>
  <c r="O28" i="2" s="1"/>
  <c r="K28" i="2"/>
  <c r="M28" i="2" s="1"/>
  <c r="G28" i="2"/>
  <c r="G27" i="2"/>
  <c r="G26" i="2"/>
  <c r="G71" i="2" l="1"/>
  <c r="M69" i="2"/>
  <c r="M71" i="2" s="1"/>
  <c r="K71" i="2"/>
  <c r="M41" i="2"/>
  <c r="N41" i="2" s="1"/>
  <c r="G38" i="2"/>
  <c r="M65" i="2"/>
  <c r="M66" i="2" s="1"/>
  <c r="O65" i="2"/>
  <c r="P70" i="2"/>
  <c r="N70" i="2"/>
  <c r="L69" i="2"/>
  <c r="O69" i="2" s="1"/>
  <c r="K26" i="2"/>
  <c r="N42" i="2"/>
  <c r="P42" i="2"/>
  <c r="P28" i="2"/>
  <c r="K27" i="2"/>
  <c r="N69" i="2" l="1"/>
  <c r="M27" i="2"/>
  <c r="K29" i="2"/>
  <c r="P69" i="2"/>
  <c r="P71" i="2" s="1"/>
  <c r="P41" i="2"/>
  <c r="P65" i="2"/>
  <c r="P66" i="2" s="1"/>
  <c r="N65" i="2"/>
  <c r="M26" i="2"/>
  <c r="P27" i="2"/>
  <c r="N27" i="2"/>
  <c r="P26" i="2" l="1"/>
  <c r="P29" i="2" s="1"/>
  <c r="M29" i="2"/>
  <c r="N26" i="2"/>
  <c r="L61" i="2" l="1"/>
  <c r="O61" i="2" s="1"/>
  <c r="K61" i="2"/>
  <c r="I61" i="2"/>
  <c r="L56" i="2"/>
  <c r="O56" i="2" s="1"/>
  <c r="K56" i="2"/>
  <c r="I56" i="2"/>
  <c r="L55" i="2"/>
  <c r="O55" i="2" s="1"/>
  <c r="K55" i="2"/>
  <c r="I55" i="2"/>
  <c r="L54" i="2"/>
  <c r="O54" i="2" s="1"/>
  <c r="K54" i="2"/>
  <c r="I54" i="2"/>
  <c r="L53" i="2"/>
  <c r="O53" i="2" s="1"/>
  <c r="K53" i="2"/>
  <c r="I53" i="2"/>
  <c r="L52" i="2"/>
  <c r="O52" i="2" s="1"/>
  <c r="K52" i="2"/>
  <c r="I52" i="2"/>
  <c r="L51" i="2"/>
  <c r="K51" i="2"/>
  <c r="I51" i="2"/>
  <c r="L47" i="2"/>
  <c r="O47" i="2" s="1"/>
  <c r="K47" i="2"/>
  <c r="L46" i="2"/>
  <c r="O46" i="2" s="1"/>
  <c r="K46" i="2"/>
  <c r="L43" i="2"/>
  <c r="O43" i="2" s="1"/>
  <c r="K43" i="2"/>
  <c r="L37" i="2"/>
  <c r="O37" i="2" s="1"/>
  <c r="K37" i="2"/>
  <c r="L36" i="2"/>
  <c r="O36" i="2" s="1"/>
  <c r="K36" i="2"/>
  <c r="L35" i="2"/>
  <c r="O35" i="2" s="1"/>
  <c r="L34" i="2"/>
  <c r="O34" i="2" s="1"/>
  <c r="K34" i="2"/>
  <c r="L33" i="2"/>
  <c r="K33" i="2"/>
  <c r="L32" i="2"/>
  <c r="O32" i="2" s="1"/>
  <c r="K32" i="2"/>
  <c r="O22" i="2"/>
  <c r="K22" i="2"/>
  <c r="O21" i="2"/>
  <c r="K21" i="2"/>
  <c r="O20" i="2"/>
  <c r="K20" i="2"/>
  <c r="O19" i="2"/>
  <c r="K19" i="2"/>
  <c r="O18" i="2"/>
  <c r="K18" i="2"/>
  <c r="O17" i="2"/>
  <c r="K17" i="2"/>
  <c r="O16" i="2"/>
  <c r="K16" i="2"/>
  <c r="K38" i="2" l="1"/>
  <c r="K48" i="2"/>
  <c r="K23" i="2"/>
  <c r="I62" i="2"/>
  <c r="K62" i="2"/>
  <c r="O51" i="2"/>
  <c r="M36" i="2"/>
  <c r="N36" i="2" s="1"/>
  <c r="M53" i="2"/>
  <c r="P53" i="2" s="1"/>
  <c r="M54" i="2"/>
  <c r="N54" i="2" s="1"/>
  <c r="M56" i="2"/>
  <c r="P56" i="2" s="1"/>
  <c r="M46" i="2"/>
  <c r="N46" i="2" s="1"/>
  <c r="M61" i="2"/>
  <c r="N61" i="2" s="1"/>
  <c r="M52" i="2"/>
  <c r="P52" i="2" s="1"/>
  <c r="M55" i="2"/>
  <c r="M34" i="2"/>
  <c r="N34" i="2" s="1"/>
  <c r="M51" i="2"/>
  <c r="G23" i="2"/>
  <c r="M33" i="2"/>
  <c r="M35" i="2"/>
  <c r="P35" i="2" s="1"/>
  <c r="M43" i="2"/>
  <c r="M47" i="2"/>
  <c r="N47" i="2" s="1"/>
  <c r="G29" i="2"/>
  <c r="M37" i="2"/>
  <c r="P37" i="2" s="1"/>
  <c r="M18" i="2"/>
  <c r="N18" i="2" s="1"/>
  <c r="M22" i="2"/>
  <c r="N22" i="2" s="1"/>
  <c r="M16" i="2"/>
  <c r="M20" i="2"/>
  <c r="N20" i="2" s="1"/>
  <c r="M17" i="2"/>
  <c r="N17" i="2" s="1"/>
  <c r="M19" i="2"/>
  <c r="N19" i="2" s="1"/>
  <c r="M21" i="2"/>
  <c r="N21" i="2" s="1"/>
  <c r="M32" i="2"/>
  <c r="G72" i="2" l="1"/>
  <c r="G185" i="2" s="1"/>
  <c r="G205" i="2" s="1"/>
  <c r="P51" i="2"/>
  <c r="M62" i="2"/>
  <c r="N62" i="2" s="1"/>
  <c r="P32" i="2"/>
  <c r="M38" i="2"/>
  <c r="M48" i="2"/>
  <c r="N48" i="2" s="1"/>
  <c r="P16" i="2"/>
  <c r="M23" i="2"/>
  <c r="K72" i="2"/>
  <c r="K185" i="2" s="1"/>
  <c r="I72" i="2"/>
  <c r="I185" i="2" s="1"/>
  <c r="P55" i="2"/>
  <c r="N51" i="2"/>
  <c r="P36" i="2"/>
  <c r="P61" i="2"/>
  <c r="N52" i="2"/>
  <c r="P54" i="2"/>
  <c r="N53" i="2"/>
  <c r="P33" i="2"/>
  <c r="N37" i="2"/>
  <c r="P34" i="2"/>
  <c r="P46" i="2"/>
  <c r="P43" i="2"/>
  <c r="P22" i="2"/>
  <c r="N43" i="2"/>
  <c r="P18" i="2"/>
  <c r="P47" i="2"/>
  <c r="P17" i="2"/>
  <c r="N16" i="2"/>
  <c r="N32" i="2"/>
  <c r="P19" i="2"/>
  <c r="P21" i="2"/>
  <c r="P20" i="2"/>
  <c r="G187" i="2" l="1"/>
  <c r="G186" i="2"/>
  <c r="G206" i="2"/>
  <c r="P23" i="2"/>
  <c r="P48" i="2"/>
  <c r="P38" i="2"/>
  <c r="P62" i="2"/>
  <c r="K187" i="2"/>
  <c r="K186" i="2"/>
  <c r="I186" i="2"/>
  <c r="I187" i="2"/>
  <c r="N23" i="2"/>
  <c r="N29" i="2"/>
  <c r="N38" i="2"/>
  <c r="G188" i="2" l="1"/>
  <c r="G194" i="2" s="1"/>
  <c r="P72" i="2"/>
  <c r="P185" i="2" s="1"/>
  <c r="K188" i="2"/>
  <c r="I188" i="2"/>
  <c r="N66" i="2"/>
  <c r="M72" i="2"/>
  <c r="I205" i="2"/>
  <c r="H205" i="2"/>
  <c r="G200" i="2" l="1"/>
  <c r="G195" i="2"/>
  <c r="P187" i="2"/>
  <c r="P186" i="2"/>
  <c r="N72" i="2"/>
  <c r="M185" i="2"/>
  <c r="N71" i="2"/>
  <c r="J205" i="2"/>
  <c r="K189" i="2" l="1"/>
  <c r="P188" i="2"/>
  <c r="M186" i="2"/>
  <c r="M187" i="2"/>
  <c r="N185" i="2"/>
  <c r="M188" i="2" l="1"/>
  <c r="G201" i="2"/>
  <c r="K191" i="2" l="1"/>
  <c r="H206" i="2"/>
  <c r="H208" i="2" s="1"/>
  <c r="G208" i="2" l="1"/>
  <c r="I206" i="2"/>
  <c r="I208" i="2" s="1"/>
  <c r="J206" i="2" l="1"/>
  <c r="K206" i="2" s="1"/>
  <c r="J208" i="2"/>
  <c r="K208" i="2" s="1"/>
  <c r="G196" i="2" l="1"/>
  <c r="G198" i="2" l="1"/>
  <c r="D198" i="2" s="1"/>
  <c r="D196" i="2"/>
</calcChain>
</file>

<file path=xl/sharedStrings.xml><?xml version="1.0" encoding="utf-8"?>
<sst xmlns="http://schemas.openxmlformats.org/spreadsheetml/2006/main" count="786" uniqueCount="218">
  <si>
    <t>Désignation</t>
  </si>
  <si>
    <t>Unités</t>
  </si>
  <si>
    <t>Quantités</t>
  </si>
  <si>
    <t>Prix unitaire</t>
  </si>
  <si>
    <t>Prix total</t>
  </si>
  <si>
    <t>PROGRESSION</t>
  </si>
  <si>
    <t>Prestations précédentes</t>
  </si>
  <si>
    <t>Prestations du Mois</t>
  </si>
  <si>
    <t>Prestations cumulées 
(en FCFA)</t>
  </si>
  <si>
    <t>% 
avment</t>
  </si>
  <si>
    <t>Prestations restantes
(en FCFA)</t>
  </si>
  <si>
    <t>Qté</t>
  </si>
  <si>
    <t>Montant</t>
  </si>
  <si>
    <t>Qté Restante</t>
  </si>
  <si>
    <t>CA Restant</t>
  </si>
  <si>
    <t>INSTALLATION DE CHANTIER</t>
  </si>
  <si>
    <t>N°</t>
  </si>
  <si>
    <t>001</t>
  </si>
  <si>
    <t>002</t>
  </si>
  <si>
    <t>003</t>
  </si>
  <si>
    <t>004</t>
  </si>
  <si>
    <t>005</t>
  </si>
  <si>
    <t>006</t>
  </si>
  <si>
    <t>007</t>
  </si>
  <si>
    <t>m²</t>
  </si>
  <si>
    <t>U</t>
  </si>
  <si>
    <t>ml</t>
  </si>
  <si>
    <t>CHAUSSEE</t>
  </si>
  <si>
    <t>TOTAL HT Projet</t>
  </si>
  <si>
    <t xml:space="preserve">TVA </t>
  </si>
  <si>
    <t>TVA (18%)</t>
  </si>
  <si>
    <t>CSS</t>
  </si>
  <si>
    <t>TOTAL TTC PROJET</t>
  </si>
  <si>
    <t>Total Retenues (1) + (2)</t>
  </si>
  <si>
    <t>Net à payer du mois</t>
  </si>
  <si>
    <t xml:space="preserve">Avancement global de :    </t>
  </si>
  <si>
    <t>Reste à rembourser / avance de démarrage</t>
  </si>
  <si>
    <t>RECAP ETAT D'AVANCEMENT PROJET</t>
  </si>
  <si>
    <t>MONTANT HT</t>
  </si>
  <si>
    <t>CSS (1%)</t>
  </si>
  <si>
    <t>MONTANT TTC</t>
  </si>
  <si>
    <t>%</t>
  </si>
  <si>
    <t>Valeur Marché</t>
  </si>
  <si>
    <t>Valeur Travaux exécutés</t>
  </si>
  <si>
    <t>Valeur travaux non-exécutés</t>
  </si>
  <si>
    <t xml:space="preserve"> </t>
  </si>
  <si>
    <t>Libreville, le</t>
  </si>
  <si>
    <t>SECURITE ET SIGNALISATION</t>
  </si>
  <si>
    <t>u</t>
  </si>
  <si>
    <t xml:space="preserve">Prestations cumulées 
</t>
  </si>
  <si>
    <t xml:space="preserve">Prestations restantes 
</t>
  </si>
  <si>
    <t>-</t>
  </si>
  <si>
    <t xml:space="preserve">Pour MIKA SERVICES </t>
  </si>
  <si>
    <t>Pour le Ministère des Travaux Publics et de la Construction</t>
  </si>
  <si>
    <t>Total remboursements / avance de démarrage</t>
  </si>
  <si>
    <t>Cumul retenue de garantie TTC</t>
  </si>
  <si>
    <t>RECAP DES RETENUES</t>
  </si>
  <si>
    <t>Lewis AWA NYARE</t>
  </si>
  <si>
    <t>Gervais MEDI TSOKA</t>
  </si>
  <si>
    <t>ATTACHEMENT N°1</t>
  </si>
  <si>
    <t xml:space="preserve">Installation générale de chantier et des services </t>
  </si>
  <si>
    <t>Ft</t>
  </si>
  <si>
    <t>Levé topografique, études de projet APD et élaboration des plans d'exécution</t>
  </si>
  <si>
    <t xml:space="preserve">Plan d'assurance qualité des travaux </t>
  </si>
  <si>
    <t>Compagne géotechnique pendant les travaux de chaussées</t>
  </si>
  <si>
    <t>Etude Bathymetrique</t>
  </si>
  <si>
    <t>Provision pour déplacement de réseaux</t>
  </si>
  <si>
    <t>Provision pour déguerpissement et/ou expropriation</t>
  </si>
  <si>
    <t xml:space="preserve">Débroussaillement avec essouchement / Nettoyage de terrain </t>
  </si>
  <si>
    <t>Abattage et dessouchage des arbres de circonférence supérieure ou égale à 1 m</t>
  </si>
  <si>
    <t>Décapage de terre végétale sur 0,2 m d'épaisseur</t>
  </si>
  <si>
    <t>TRAVAUX PREPARATOIRES  DEGAGEMENT DES EMPRISES</t>
  </si>
  <si>
    <t>Déblais mis en dépôt</t>
  </si>
  <si>
    <t>m³</t>
  </si>
  <si>
    <t>Purge de terre de mauvaise tenue et substitution au-delà de 50 cm</t>
  </si>
  <si>
    <t>Remblais provenant d'emprunts en matériaux naturels</t>
  </si>
  <si>
    <t>Réglage et compactage de l'arase de la plateforme des terrassements</t>
  </si>
  <si>
    <t xml:space="preserve">Enrochement berge apres purge </t>
  </si>
  <si>
    <t>m3</t>
  </si>
  <si>
    <t>Mise en place d'une berge en matériaux traités aux liants hydrauliques</t>
  </si>
  <si>
    <t>TERRASSEMENTS GENERAUX</t>
  </si>
  <si>
    <t xml:space="preserve">Fourniture, transport et mise en œuvre de graveleux lateritique pour couche de fondation - épaisseur = 35 cm </t>
  </si>
  <si>
    <t xml:space="preserve">Fourniture, transport et mise en œuvre de grave concassé 0/25 pour la couche de base  -   épaisseur = 25 cm </t>
  </si>
  <si>
    <t xml:space="preserve">Fourniture et mise œuvre de beton dosé à 200 Kg/m3  pour revetement de trottoir - épaisseur = 10 cm </t>
  </si>
  <si>
    <t>Revêtement en béton bitumineux ( 7 cm )</t>
  </si>
  <si>
    <t>Imprégnation MRC 400-600</t>
  </si>
  <si>
    <t>Béton Bitumineux Minces pour piste cyclabe</t>
  </si>
  <si>
    <t>Fourniture et mise œuvre de terre végétale pour espace vert</t>
  </si>
  <si>
    <t>Fourniture et pose  de bordures de type T2</t>
  </si>
  <si>
    <t>Fourniture et pose  de bordures de type  CS2</t>
  </si>
  <si>
    <t>Caniveaux en béton armé rectangulaire  50x50</t>
  </si>
  <si>
    <t>Dalette en beton armé pour traversée de caniveaux 50x50</t>
  </si>
  <si>
    <t>Aménagement de descentes d'eau</t>
  </si>
  <si>
    <t>Regard 100x100</t>
  </si>
  <si>
    <t>F/P de tampon pour regard</t>
  </si>
  <si>
    <t xml:space="preserve">Fourniture et mise œuvre de beton  armé pour ouvrages de soutènement </t>
  </si>
  <si>
    <t>Dalot en béton armé 1 x (100 cm x 100 cm)</t>
  </si>
  <si>
    <t>Tête pour dalot en béton armé 1x(100x100 cm)</t>
  </si>
  <si>
    <t>Regards pour tuyaux de reservation electrique 100x100x80</t>
  </si>
  <si>
    <t>DRAINAGE   ASSAINISSEMENT</t>
  </si>
  <si>
    <t>Réhabilitation des zones d'emprunts et de dépôts</t>
  </si>
  <si>
    <t>FT</t>
  </si>
  <si>
    <t>PRESTATIONS ENVIRONNEMENTALES</t>
  </si>
  <si>
    <t>AMENAGEMENTS CONNEXES</t>
  </si>
  <si>
    <t>Aménagement d'arrêt taxis (parking)</t>
  </si>
  <si>
    <t>Aménagement de plateau sportif</t>
  </si>
  <si>
    <t>000</t>
  </si>
  <si>
    <t>Total Poste 000</t>
  </si>
  <si>
    <t>Total Poste 100</t>
  </si>
  <si>
    <t>Total Poste 200</t>
  </si>
  <si>
    <t>Total Poste 300</t>
  </si>
  <si>
    <t>Total Poste 400</t>
  </si>
  <si>
    <t>Total Poste 500</t>
  </si>
  <si>
    <t>Total Poste 600</t>
  </si>
  <si>
    <t>DECOMPTE PROVISOIRE N°1</t>
  </si>
  <si>
    <t>Total Voie sur Berge de la Lowé</t>
  </si>
  <si>
    <t>GEOTECHNIQUE PIEUX</t>
  </si>
  <si>
    <t>Etude geotechnique mission G2 PRO</t>
  </si>
  <si>
    <t>mobilisation ,amenée repli et démobilisation</t>
  </si>
  <si>
    <t>installation chantier</t>
  </si>
  <si>
    <t>Réalisation pieux  de 1000</t>
  </si>
  <si>
    <t>forage  à la tariere de 1200  , 15ml/pieu  y compris tubage</t>
  </si>
  <si>
    <t>forationn dans rocher 8ml/pieu</t>
  </si>
  <si>
    <t xml:space="preserve">mise en placearmature , beton beton </t>
  </si>
  <si>
    <t>recepage des pieux</t>
  </si>
  <si>
    <t xml:space="preserve">coffrage des tetes de pieux </t>
  </si>
  <si>
    <t xml:space="preserve">fourniture beton </t>
  </si>
  <si>
    <t>fourniture acier</t>
  </si>
  <si>
    <t>kg</t>
  </si>
  <si>
    <t>Enrochement Batardeau</t>
  </si>
  <si>
    <t xml:space="preserve">remblais batardeau </t>
  </si>
  <si>
    <t>Pompage et autres aléas</t>
  </si>
  <si>
    <t>FONDATIONS PROFONDES SUR PIEUX</t>
  </si>
  <si>
    <t>Essais d'impédance sur pieux avec rapport d'auscultation</t>
  </si>
  <si>
    <t xml:space="preserve">Plan de pilotage, rapport d'éxécution </t>
  </si>
  <si>
    <t xml:space="preserve">Mission de contrôle technique </t>
  </si>
  <si>
    <t>DIVERS</t>
  </si>
  <si>
    <t>I. VOIE SUR LA BERGE DE LA LOWE</t>
  </si>
  <si>
    <t>II. PIEUX SOUS PILE</t>
  </si>
  <si>
    <t>III. PONT SUR LA LOWE</t>
  </si>
  <si>
    <t>Total Pont sur la LOWE</t>
  </si>
  <si>
    <t>Total Pieux sous Pile</t>
  </si>
  <si>
    <t xml:space="preserve">Bureau et atelier de montage </t>
  </si>
  <si>
    <t xml:space="preserve">Aire de montage du pont </t>
  </si>
  <si>
    <t xml:space="preserve">Remblai lancement Pont </t>
  </si>
  <si>
    <t xml:space="preserve">pilotage etudes d'éxécution </t>
  </si>
  <si>
    <t>contrôle externe</t>
  </si>
  <si>
    <t xml:space="preserve">FT </t>
  </si>
  <si>
    <t xml:space="preserve">suivi topographique en cours d'éxécution </t>
  </si>
  <si>
    <t>mois</t>
  </si>
  <si>
    <t xml:space="preserve">Reconnaissance geotechnique des sols  support </t>
  </si>
  <si>
    <t>INSTALLATION PONT</t>
  </si>
  <si>
    <t xml:space="preserve">demolition chaussée et mur de cloture </t>
  </si>
  <si>
    <t xml:space="preserve">provision déplacement des réseaux </t>
  </si>
  <si>
    <t>Degagement des emprises</t>
  </si>
  <si>
    <t>m2</t>
  </si>
  <si>
    <t>déblais mis en dépots</t>
  </si>
  <si>
    <t xml:space="preserve">Remblais provenant d'emprunts plateforme lancement </t>
  </si>
  <si>
    <t>COFFRAGES</t>
  </si>
  <si>
    <t xml:space="preserve">coffrages fondation pile </t>
  </si>
  <si>
    <t>coffrage culée</t>
  </si>
  <si>
    <t>coffrage soigné pile et colonne</t>
  </si>
  <si>
    <t>coffrage soigné culée</t>
  </si>
  <si>
    <t>coffrages soignés tabliers</t>
  </si>
  <si>
    <t>badigeonnage parement enterre</t>
  </si>
  <si>
    <t>cintres et echaffaudage provisoire</t>
  </si>
  <si>
    <t>beton de propreté B20 pour pile et culée</t>
  </si>
  <si>
    <t>beton B35 pour semelles des culées</t>
  </si>
  <si>
    <t>beton B35 pour semelles des piles</t>
  </si>
  <si>
    <t>beton B35 pour piles</t>
  </si>
  <si>
    <t>beton B35 pour chevetre</t>
  </si>
  <si>
    <t>beton B35 pour bossage des culées et piles</t>
  </si>
  <si>
    <t>beton B35 pour tablier</t>
  </si>
  <si>
    <t>beton B35 pour corniche</t>
  </si>
  <si>
    <t>BETON</t>
  </si>
  <si>
    <t>ARMATURES ACIERS</t>
  </si>
  <si>
    <t>pour semelles des culées</t>
  </si>
  <si>
    <t xml:space="preserve"> pour semelles des piles</t>
  </si>
  <si>
    <t>pour piles</t>
  </si>
  <si>
    <t>pour chevetre</t>
  </si>
  <si>
    <t xml:space="preserve"> pour bossage des culées et piles</t>
  </si>
  <si>
    <t>pour tablier</t>
  </si>
  <si>
    <t>pour corniche</t>
  </si>
  <si>
    <t>traitement des eaux Drains</t>
  </si>
  <si>
    <t>Equipement Structure Baudin Chateauneuf</t>
  </si>
  <si>
    <t>fourniture charpente metallique</t>
  </si>
  <si>
    <t>barrieres BN4</t>
  </si>
  <si>
    <t>Gardes corps S8</t>
  </si>
  <si>
    <t>Appareils d'appuis</t>
  </si>
  <si>
    <t>joints de chaussée</t>
  </si>
  <si>
    <t>Luminaires</t>
  </si>
  <si>
    <t>Corniches metalliques</t>
  </si>
  <si>
    <t xml:space="preserve">Montage y compris kit de lançage spécifique </t>
  </si>
  <si>
    <t xml:space="preserve">Materiel de sécurité </t>
  </si>
  <si>
    <t>enrobés rampe d'accès</t>
  </si>
  <si>
    <t>Couche fondation grave lateritique</t>
  </si>
  <si>
    <t>Couche base 0/25</t>
  </si>
  <si>
    <t>signalisation</t>
  </si>
  <si>
    <t>Total Poste 700</t>
  </si>
  <si>
    <t>Remboursement avance de démarrage 25% du TTC exécuté décompte N°1</t>
  </si>
  <si>
    <t xml:space="preserve">Pour l'Entreprise MIKA SERVICES </t>
  </si>
  <si>
    <t>Pour le Ministère des Travaux Publics</t>
  </si>
  <si>
    <t>Le REPRESENTANT HABILITE</t>
  </si>
  <si>
    <t xml:space="preserve">Le MAITRE D'ŒUVRE </t>
  </si>
  <si>
    <t>Directeur Général des Infrastructures de Transport</t>
  </si>
  <si>
    <t>Période du 25 Juillet 2025 au 31 Decembre 2025</t>
  </si>
  <si>
    <t>Libreville, le 28 janvier 2026</t>
  </si>
  <si>
    <t>Directeur des Etudes et de l’Evaluation des Projets</t>
  </si>
  <si>
    <t>Le Chef de Projets Senior</t>
  </si>
  <si>
    <t>Retenue de garantie 2% du TTC exécuté décompte N°1 (2)</t>
  </si>
  <si>
    <t>Directeur Exploitation &amp; Travaux</t>
  </si>
  <si>
    <t>Avance de démarrage 20% TTC</t>
  </si>
  <si>
    <t>ESSAI</t>
  </si>
  <si>
    <t xml:space="preserve">MONTANT DU MARCHE TTC :  </t>
  </si>
  <si>
    <t>Delai Contractuel : ... MOIS</t>
  </si>
  <si>
    <t xml:space="preserve">MONTANT DU MARCHE TTC : </t>
  </si>
  <si>
    <t xml:space="preserve">Delai Contractuel : </t>
  </si>
  <si>
    <r>
      <rPr>
        <sz val="13"/>
        <color theme="1"/>
        <rFont val="Century Gothic"/>
        <family val="2"/>
      </rPr>
      <t>Arreté le présent décompte à la somme de :</t>
    </r>
    <r>
      <rPr>
        <sz val="10"/>
        <color theme="1"/>
        <rFont val="Century Gothic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</si>
</sst>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#,##0\ _€"/>
    <numFmt numFmtId="165" formatCode="_-* #,##0.00\ _€_-;\-* #,##0.00\ _€_-;_-* &quot;-&quot;??\ _€_-;_-@_-"/>
    <numFmt numFmtId="166" formatCode="#,##0.00_ ;\-#,##0.00\ "/>
    <numFmt numFmtId="167" formatCode="#,##0.000_ ;\-#,##0.000\ "/>
    <numFmt numFmtId="168" formatCode="#,##0.000"/>
    <numFmt numFmtId="169" formatCode="0.00000"/>
    <numFmt numFmtId="170" formatCode="0.000"/>
    <numFmt numFmtId="171" formatCode="0.0000"/>
    <numFmt numFmtId="172" formatCode="0.000000"/>
  </numFmts>
  <fonts count="56" x14ac:knownFonts="1"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u/>
      <sz val="12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4"/>
      <color theme="1"/>
      <name val="Century Gothic"/>
      <family val="2"/>
    </font>
    <font>
      <sz val="12"/>
      <color theme="1"/>
      <name val="Century Gothic"/>
      <family val="2"/>
    </font>
    <font>
      <b/>
      <u/>
      <sz val="10"/>
      <name val="Century Gothic"/>
      <family val="2"/>
    </font>
    <font>
      <b/>
      <u/>
      <sz val="20"/>
      <name val="Century Gothic"/>
      <family val="2"/>
    </font>
    <font>
      <sz val="18"/>
      <color theme="1"/>
      <name val="Century Gothic"/>
      <family val="2"/>
    </font>
    <font>
      <sz val="14"/>
      <name val="Century Gothic"/>
      <family val="2"/>
    </font>
    <font>
      <b/>
      <sz val="10"/>
      <name val="Century Gothic"/>
      <family val="2"/>
    </font>
    <font>
      <b/>
      <sz val="11"/>
      <color theme="0"/>
      <name val="Century Gothic"/>
      <family val="2"/>
    </font>
    <font>
      <sz val="10"/>
      <color theme="0"/>
      <name val="Century Gothic"/>
      <family val="2"/>
    </font>
    <font>
      <sz val="10"/>
      <name val="Century Gothic"/>
      <family val="2"/>
    </font>
    <font>
      <i/>
      <sz val="10"/>
      <color theme="1"/>
      <name val="Century Gothic"/>
      <family val="2"/>
    </font>
    <font>
      <sz val="9"/>
      <color rgb="FFFF0000"/>
      <name val="Century Gothic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sz val="10"/>
      <color rgb="FFC00000"/>
      <name val="Century Gothic"/>
      <family val="2"/>
    </font>
    <font>
      <b/>
      <sz val="12"/>
      <name val="Century Gothic"/>
      <family val="2"/>
    </font>
    <font>
      <b/>
      <sz val="11"/>
      <name val="Century Gothic"/>
      <family val="2"/>
    </font>
    <font>
      <sz val="11"/>
      <color rgb="FFC00000"/>
      <name val="Century Gothic"/>
      <family val="2"/>
    </font>
    <font>
      <b/>
      <sz val="10"/>
      <color rgb="FFC00000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2"/>
      <color rgb="FFFFC000"/>
      <name val="Century Gothic"/>
      <family val="2"/>
    </font>
    <font>
      <b/>
      <sz val="11"/>
      <color rgb="FFFFC000"/>
      <name val="Century Gothic"/>
      <family val="2"/>
    </font>
    <font>
      <b/>
      <sz val="11"/>
      <color theme="1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20"/>
      <color theme="1"/>
      <name val="Century Gothic"/>
      <family val="2"/>
    </font>
    <font>
      <b/>
      <sz val="18"/>
      <color theme="1"/>
      <name val="Century Gothic"/>
      <family val="2"/>
    </font>
    <font>
      <sz val="10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0"/>
      <color rgb="FF00B050"/>
      <name val="Century Gothic"/>
      <family val="2"/>
    </font>
    <font>
      <sz val="12"/>
      <name val="Tahoma"/>
      <family val="2"/>
    </font>
    <font>
      <sz val="16"/>
      <color theme="1"/>
      <name val="Century Gothic"/>
      <family val="2"/>
    </font>
    <font>
      <b/>
      <sz val="16"/>
      <color theme="1"/>
      <name val="Century Gothic"/>
      <family val="2"/>
    </font>
    <font>
      <b/>
      <sz val="16"/>
      <name val="Tahoma"/>
      <family val="2"/>
    </font>
    <font>
      <sz val="16"/>
      <name val="Tahoma"/>
      <family val="2"/>
    </font>
    <font>
      <sz val="16"/>
      <name val="Century Gothic"/>
      <family val="2"/>
    </font>
    <font>
      <sz val="13"/>
      <color theme="1"/>
      <name val="Century Gothic"/>
      <family val="2"/>
    </font>
    <font>
      <sz val="8"/>
      <color theme="1"/>
      <name val="Century Gothic"/>
      <family val="2"/>
    </font>
    <font>
      <b/>
      <sz val="14"/>
      <color theme="1"/>
      <name val="Tahoma"/>
      <family val="2"/>
    </font>
    <font>
      <sz val="16"/>
      <color theme="1"/>
      <name val="Tahoma"/>
      <family val="2"/>
    </font>
    <font>
      <b/>
      <sz val="11"/>
      <color rgb="FF0070C0"/>
      <name val="Century Gothic"/>
      <family val="2"/>
    </font>
    <font>
      <sz val="14"/>
      <name val="Tahoma"/>
      <family val="2"/>
    </font>
    <font>
      <b/>
      <sz val="14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auto="1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39" fillId="0" borderId="0" applyFont="0" applyFill="0" applyBorder="0" applyAlignment="0" applyProtection="0"/>
  </cellStyleXfs>
  <cellXfs count="555">
    <xf numFmtId="0" fontId="0" fillId="0" borderId="0" xfId="0"/>
    <xf numFmtId="0" fontId="5" fillId="0" borderId="0" xfId="3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right" indent="2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 indent="2"/>
    </xf>
    <xf numFmtId="0" fontId="5" fillId="0" borderId="0" xfId="0" applyFont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 indent="2"/>
    </xf>
    <xf numFmtId="0" fontId="19" fillId="2" borderId="24" xfId="0" applyFont="1" applyFill="1" applyBorder="1" applyAlignment="1">
      <alignment vertical="center"/>
    </xf>
    <xf numFmtId="2" fontId="19" fillId="2" borderId="24" xfId="0" applyNumberFormat="1" applyFont="1" applyFill="1" applyBorder="1" applyAlignment="1">
      <alignment vertical="center"/>
    </xf>
    <xf numFmtId="164" fontId="19" fillId="2" borderId="24" xfId="0" applyNumberFormat="1" applyFont="1" applyFill="1" applyBorder="1" applyAlignment="1">
      <alignment vertical="center"/>
    </xf>
    <xf numFmtId="3" fontId="20" fillId="2" borderId="26" xfId="3" applyNumberFormat="1" applyFont="1" applyFill="1" applyBorder="1" applyAlignment="1">
      <alignment horizontal="center" vertical="center" wrapText="1"/>
    </xf>
    <xf numFmtId="3" fontId="20" fillId="2" borderId="25" xfId="3" applyNumberFormat="1" applyFont="1" applyFill="1" applyBorder="1" applyAlignment="1">
      <alignment horizontal="center" vertical="center" wrapText="1"/>
    </xf>
    <xf numFmtId="4" fontId="20" fillId="2" borderId="26" xfId="3" applyNumberFormat="1" applyFont="1" applyFill="1" applyBorder="1" applyAlignment="1">
      <alignment horizontal="center" vertical="center" wrapText="1"/>
    </xf>
    <xf numFmtId="164" fontId="17" fillId="2" borderId="25" xfId="3" applyNumberFormat="1" applyFont="1" applyFill="1" applyBorder="1" applyAlignment="1">
      <alignment horizontal="right" vertical="center" indent="1"/>
    </xf>
    <xf numFmtId="2" fontId="17" fillId="2" borderId="26" xfId="3" applyNumberFormat="1" applyFont="1" applyFill="1" applyBorder="1" applyAlignment="1">
      <alignment horizontal="center" vertical="center"/>
    </xf>
    <xf numFmtId="9" fontId="17" fillId="2" borderId="27" xfId="2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 vertical="center" wrapText="1"/>
    </xf>
    <xf numFmtId="0" fontId="21" fillId="3" borderId="29" xfId="0" applyFont="1" applyFill="1" applyBorder="1" applyAlignment="1">
      <alignment horizontal="center" vertical="center" wrapText="1"/>
    </xf>
    <xf numFmtId="2" fontId="21" fillId="3" borderId="29" xfId="0" applyNumberFormat="1" applyFont="1" applyFill="1" applyBorder="1" applyAlignment="1">
      <alignment horizontal="center" vertical="center" wrapText="1"/>
    </xf>
    <xf numFmtId="3" fontId="20" fillId="0" borderId="31" xfId="3" applyNumberFormat="1" applyFont="1" applyBorder="1" applyAlignment="1">
      <alignment horizontal="center" vertical="center" wrapText="1"/>
    </xf>
    <xf numFmtId="3" fontId="20" fillId="0" borderId="12" xfId="3" applyNumberFormat="1" applyFont="1" applyBorder="1" applyAlignment="1">
      <alignment horizontal="center" vertical="center" wrapText="1"/>
    </xf>
    <xf numFmtId="4" fontId="20" fillId="4" borderId="31" xfId="3" applyNumberFormat="1" applyFont="1" applyFill="1" applyBorder="1" applyAlignment="1">
      <alignment horizontal="center" vertical="center" wrapText="1"/>
    </xf>
    <xf numFmtId="164" fontId="20" fillId="4" borderId="12" xfId="3" applyNumberFormat="1" applyFont="1" applyFill="1" applyBorder="1" applyAlignment="1">
      <alignment horizontal="right" vertical="center" indent="1"/>
    </xf>
    <xf numFmtId="2" fontId="17" fillId="0" borderId="31" xfId="3" applyNumberFormat="1" applyFont="1" applyBorder="1" applyAlignment="1">
      <alignment horizontal="center" vertical="center"/>
    </xf>
    <xf numFmtId="164" fontId="17" fillId="0" borderId="12" xfId="3" applyNumberFormat="1" applyFont="1" applyBorder="1" applyAlignment="1">
      <alignment horizontal="right" vertical="center" indent="1"/>
    </xf>
    <xf numFmtId="9" fontId="17" fillId="0" borderId="32" xfId="2" applyFont="1" applyBorder="1" applyAlignment="1">
      <alignment horizontal="center" vertical="center"/>
    </xf>
    <xf numFmtId="2" fontId="20" fillId="0" borderId="31" xfId="3" applyNumberFormat="1" applyFont="1" applyBorder="1" applyAlignment="1">
      <alignment horizontal="right" vertical="center" indent="2"/>
    </xf>
    <xf numFmtId="4" fontId="20" fillId="0" borderId="31" xfId="3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22" fillId="0" borderId="35" xfId="0" applyFont="1" applyBorder="1" applyAlignment="1">
      <alignment horizontal="left" vertical="center" indent="2"/>
    </xf>
    <xf numFmtId="2" fontId="23" fillId="0" borderId="35" xfId="0" applyNumberFormat="1" applyFont="1" applyBorder="1" applyAlignment="1">
      <alignment vertical="center"/>
    </xf>
    <xf numFmtId="164" fontId="23" fillId="0" borderId="35" xfId="0" applyNumberFormat="1" applyFont="1" applyBorder="1" applyAlignment="1">
      <alignment vertical="center"/>
    </xf>
    <xf numFmtId="3" fontId="23" fillId="0" borderId="6" xfId="3" applyNumberFormat="1" applyFont="1" applyBorder="1" applyAlignment="1">
      <alignment horizontal="center" vertical="center" wrapText="1"/>
    </xf>
    <xf numFmtId="164" fontId="23" fillId="0" borderId="16" xfId="0" applyNumberFormat="1" applyFont="1" applyBorder="1" applyAlignment="1">
      <alignment horizontal="right" vertical="center" indent="1"/>
    </xf>
    <xf numFmtId="4" fontId="23" fillId="4" borderId="6" xfId="3" applyNumberFormat="1" applyFont="1" applyFill="1" applyBorder="1" applyAlignment="1">
      <alignment horizontal="center" vertical="center" wrapText="1"/>
    </xf>
    <xf numFmtId="164" fontId="23" fillId="4" borderId="16" xfId="0" applyNumberFormat="1" applyFont="1" applyFill="1" applyBorder="1" applyAlignment="1">
      <alignment horizontal="right" vertical="center" indent="1"/>
    </xf>
    <xf numFmtId="2" fontId="23" fillId="0" borderId="6" xfId="3" applyNumberFormat="1" applyFont="1" applyBorder="1" applyAlignment="1">
      <alignment horizontal="center" vertical="center"/>
    </xf>
    <xf numFmtId="9" fontId="23" fillId="0" borderId="36" xfId="2" applyFont="1" applyBorder="1" applyAlignment="1">
      <alignment horizontal="center" vertical="center"/>
    </xf>
    <xf numFmtId="2" fontId="23" fillId="0" borderId="6" xfId="3" applyNumberFormat="1" applyFont="1" applyBorder="1" applyAlignment="1">
      <alignment horizontal="right" vertical="center" indent="2"/>
    </xf>
    <xf numFmtId="0" fontId="18" fillId="2" borderId="26" xfId="0" applyFont="1" applyFill="1" applyBorder="1" applyAlignment="1">
      <alignment horizontal="center" vertical="center"/>
    </xf>
    <xf numFmtId="164" fontId="17" fillId="2" borderId="25" xfId="3" applyNumberFormat="1" applyFont="1" applyFill="1" applyBorder="1" applyAlignment="1">
      <alignment horizontal="center" vertical="center"/>
    </xf>
    <xf numFmtId="2" fontId="20" fillId="2" borderId="26" xfId="3" applyNumberFormat="1" applyFont="1" applyFill="1" applyBorder="1" applyAlignment="1">
      <alignment horizontal="right" vertical="center" indent="2"/>
    </xf>
    <xf numFmtId="164" fontId="17" fillId="4" borderId="12" xfId="3" applyNumberFormat="1" applyFont="1" applyFill="1" applyBorder="1" applyAlignment="1">
      <alignment horizontal="right" vertical="center" indent="1"/>
    </xf>
    <xf numFmtId="164" fontId="17" fillId="0" borderId="12" xfId="3" applyNumberFormat="1" applyFont="1" applyBorder="1" applyAlignment="1">
      <alignment horizontal="center" vertical="center"/>
    </xf>
    <xf numFmtId="0" fontId="21" fillId="3" borderId="37" xfId="0" applyFont="1" applyFill="1" applyBorder="1" applyAlignment="1">
      <alignment horizontal="center" vertical="center" wrapText="1"/>
    </xf>
    <xf numFmtId="0" fontId="28" fillId="0" borderId="42" xfId="0" applyFont="1" applyBorder="1" applyAlignment="1">
      <alignment horizontal="left" vertical="center" indent="1"/>
    </xf>
    <xf numFmtId="0" fontId="28" fillId="0" borderId="43" xfId="0" applyFont="1" applyBorder="1"/>
    <xf numFmtId="3" fontId="28" fillId="3" borderId="45" xfId="3" applyNumberFormat="1" applyFont="1" applyFill="1" applyBorder="1" applyAlignment="1">
      <alignment horizontal="right" vertical="center" wrapText="1" indent="1"/>
    </xf>
    <xf numFmtId="3" fontId="33" fillId="2" borderId="20" xfId="3" applyNumberFormat="1" applyFont="1" applyFill="1" applyBorder="1" applyAlignment="1">
      <alignment horizontal="right" vertical="center" wrapText="1" indent="1"/>
    </xf>
    <xf numFmtId="0" fontId="10" fillId="0" borderId="43" xfId="0" applyFont="1" applyBorder="1"/>
    <xf numFmtId="3" fontId="17" fillId="6" borderId="53" xfId="3" applyNumberFormat="1" applyFont="1" applyFill="1" applyBorder="1" applyAlignment="1">
      <alignment horizontal="right" vertical="center" wrapText="1" indent="1"/>
    </xf>
    <xf numFmtId="0" fontId="10" fillId="0" borderId="19" xfId="0" applyFont="1" applyBorder="1" applyAlignment="1">
      <alignment horizontal="left" indent="1"/>
    </xf>
    <xf numFmtId="0" fontId="10" fillId="0" borderId="1" xfId="0" applyFont="1" applyBorder="1"/>
    <xf numFmtId="3" fontId="17" fillId="6" borderId="18" xfId="3" applyNumberFormat="1" applyFont="1" applyFill="1" applyBorder="1" applyAlignment="1">
      <alignment horizontal="right" vertical="center" wrapText="1" indent="1"/>
    </xf>
    <xf numFmtId="3" fontId="20" fillId="0" borderId="0" xfId="3" applyNumberFormat="1" applyFont="1" applyAlignment="1">
      <alignment horizontal="right" vertical="center" wrapText="1" indent="1"/>
    </xf>
    <xf numFmtId="0" fontId="25" fillId="0" borderId="43" xfId="0" applyFont="1" applyBorder="1"/>
    <xf numFmtId="0" fontId="0" fillId="0" borderId="0" xfId="0" applyAlignment="1">
      <alignment vertical="center" wrapText="1"/>
    </xf>
    <xf numFmtId="0" fontId="10" fillId="0" borderId="44" xfId="0" applyFont="1" applyBorder="1"/>
    <xf numFmtId="9" fontId="0" fillId="7" borderId="53" xfId="2" applyFont="1" applyFill="1" applyBorder="1" applyAlignment="1">
      <alignment horizontal="center"/>
    </xf>
    <xf numFmtId="0" fontId="29" fillId="0" borderId="57" xfId="0" applyFont="1" applyBorder="1" applyAlignment="1">
      <alignment horizontal="left" indent="1"/>
    </xf>
    <xf numFmtId="0" fontId="29" fillId="0" borderId="7" xfId="0" applyFont="1" applyBorder="1"/>
    <xf numFmtId="0" fontId="29" fillId="0" borderId="52" xfId="0" applyFont="1" applyBorder="1"/>
    <xf numFmtId="3" fontId="29" fillId="0" borderId="35" xfId="2" applyNumberFormat="1" applyFont="1" applyBorder="1" applyAlignment="1">
      <alignment horizontal="right" indent="1"/>
    </xf>
    <xf numFmtId="3" fontId="29" fillId="0" borderId="35" xfId="0" applyNumberFormat="1" applyFont="1" applyBorder="1" applyAlignment="1">
      <alignment horizontal="right" indent="1"/>
    </xf>
    <xf numFmtId="9" fontId="29" fillId="7" borderId="35" xfId="2" applyFont="1" applyFill="1" applyBorder="1" applyAlignment="1">
      <alignment horizontal="center"/>
    </xf>
    <xf numFmtId="3" fontId="20" fillId="0" borderId="11" xfId="3" applyNumberFormat="1" applyFont="1" applyBorder="1" applyAlignment="1">
      <alignment horizontal="right" vertical="center" wrapText="1" indent="1"/>
    </xf>
    <xf numFmtId="0" fontId="25" fillId="0" borderId="44" xfId="0" applyFont="1" applyBorder="1"/>
    <xf numFmtId="3" fontId="10" fillId="4" borderId="53" xfId="0" applyNumberFormat="1" applyFont="1" applyFill="1" applyBorder="1" applyAlignment="1">
      <alignment horizontal="right" indent="1"/>
    </xf>
    <xf numFmtId="9" fontId="10" fillId="4" borderId="53" xfId="2" applyFont="1" applyFill="1" applyBorder="1" applyAlignment="1">
      <alignment horizontal="center"/>
    </xf>
    <xf numFmtId="3" fontId="35" fillId="0" borderId="0" xfId="3" applyNumberFormat="1" applyFont="1" applyAlignment="1">
      <alignment vertical="center" wrapText="1"/>
    </xf>
    <xf numFmtId="0" fontId="12" fillId="0" borderId="0" xfId="0" applyFont="1"/>
    <xf numFmtId="3" fontId="36" fillId="0" borderId="0" xfId="3" applyNumberFormat="1" applyFont="1" applyAlignment="1">
      <alignment horizontal="right" vertical="center" wrapText="1" indent="2"/>
    </xf>
    <xf numFmtId="3" fontId="17" fillId="0" borderId="36" xfId="3" applyNumberFormat="1" applyFont="1" applyBorder="1" applyAlignment="1">
      <alignment horizontal="center" vertical="center" wrapText="1"/>
    </xf>
    <xf numFmtId="2" fontId="20" fillId="0" borderId="32" xfId="3" applyNumberFormat="1" applyFont="1" applyBorder="1" applyAlignment="1">
      <alignment horizontal="right" vertical="center" indent="2"/>
    </xf>
    <xf numFmtId="2" fontId="20" fillId="2" borderId="27" xfId="3" applyNumberFormat="1" applyFont="1" applyFill="1" applyBorder="1" applyAlignment="1">
      <alignment horizontal="right" vertical="center" indent="2"/>
    </xf>
    <xf numFmtId="0" fontId="37" fillId="0" borderId="0" xfId="0" applyFont="1"/>
    <xf numFmtId="0" fontId="6" fillId="0" borderId="0" xfId="0" applyFont="1" applyAlignment="1">
      <alignment vertical="center"/>
    </xf>
    <xf numFmtId="3" fontId="0" fillId="0" borderId="0" xfId="0" applyNumberFormat="1"/>
    <xf numFmtId="20" fontId="40" fillId="0" borderId="0" xfId="0" applyNumberFormat="1" applyFont="1" applyAlignment="1">
      <alignment vertical="center"/>
    </xf>
    <xf numFmtId="20" fontId="41" fillId="0" borderId="0" xfId="0" applyNumberFormat="1" applyFont="1" applyAlignment="1">
      <alignment vertical="center"/>
    </xf>
    <xf numFmtId="49" fontId="31" fillId="0" borderId="65" xfId="3" quotePrefix="1" applyNumberFormat="1" applyFont="1" applyBorder="1" applyAlignment="1">
      <alignment horizontal="right" vertical="center" wrapText="1"/>
    </xf>
    <xf numFmtId="0" fontId="20" fillId="0" borderId="56" xfId="3" applyFont="1" applyBorder="1" applyAlignment="1">
      <alignment horizontal="left" vertical="center" wrapText="1"/>
    </xf>
    <xf numFmtId="49" fontId="20" fillId="0" borderId="65" xfId="3" quotePrefix="1" applyNumberFormat="1" applyFont="1" applyBorder="1" applyAlignment="1">
      <alignment horizontal="righ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66" xfId="3" applyFont="1" applyBorder="1" applyAlignment="1">
      <alignment horizontal="center" vertical="center" wrapText="1"/>
    </xf>
    <xf numFmtId="0" fontId="20" fillId="0" borderId="67" xfId="3" applyFont="1" applyBorder="1" applyAlignment="1">
      <alignment horizontal="left" vertical="center" wrapText="1"/>
    </xf>
    <xf numFmtId="0" fontId="20" fillId="0" borderId="69" xfId="3" applyFont="1" applyBorder="1" applyAlignment="1">
      <alignment horizontal="left" vertical="center" wrapText="1"/>
    </xf>
    <xf numFmtId="0" fontId="0" fillId="0" borderId="69" xfId="0" applyBorder="1" applyAlignment="1">
      <alignment horizontal="center" vertical="center"/>
    </xf>
    <xf numFmtId="0" fontId="20" fillId="0" borderId="69" xfId="3" applyFont="1" applyBorder="1" applyAlignment="1">
      <alignment horizontal="center" vertical="center" wrapText="1"/>
    </xf>
    <xf numFmtId="0" fontId="20" fillId="7" borderId="69" xfId="3" applyFont="1" applyFill="1" applyBorder="1" applyAlignment="1">
      <alignment horizontal="center" wrapText="1"/>
    </xf>
    <xf numFmtId="49" fontId="20" fillId="0" borderId="31" xfId="3" quotePrefix="1" applyNumberFormat="1" applyFont="1" applyBorder="1" applyAlignment="1">
      <alignment horizontal="right" vertical="center" wrapText="1"/>
    </xf>
    <xf numFmtId="0" fontId="20" fillId="0" borderId="70" xfId="3" applyFont="1" applyBorder="1" applyAlignment="1">
      <alignment horizontal="left" vertical="center" wrapText="1"/>
    </xf>
    <xf numFmtId="0" fontId="20" fillId="7" borderId="70" xfId="3" applyFont="1" applyFill="1" applyBorder="1" applyAlignment="1">
      <alignment horizontal="center" wrapText="1"/>
    </xf>
    <xf numFmtId="0" fontId="0" fillId="0" borderId="0" xfId="0" applyAlignment="1">
      <alignment horizontal="right" indent="2"/>
    </xf>
    <xf numFmtId="3" fontId="20" fillId="7" borderId="56" xfId="3" applyNumberFormat="1" applyFont="1" applyFill="1" applyBorder="1" applyAlignment="1">
      <alignment horizontal="right" vertical="center" wrapText="1" indent="1"/>
    </xf>
    <xf numFmtId="3" fontId="20" fillId="0" borderId="56" xfId="3" applyNumberFormat="1" applyFont="1" applyBorder="1" applyAlignment="1">
      <alignment horizontal="right" vertical="center" wrapText="1" indent="1"/>
    </xf>
    <xf numFmtId="3" fontId="42" fillId="0" borderId="6" xfId="3" applyNumberFormat="1" applyFont="1" applyBorder="1" applyAlignment="1">
      <alignment vertical="center" wrapText="1"/>
    </xf>
    <xf numFmtId="3" fontId="42" fillId="0" borderId="7" xfId="3" applyNumberFormat="1" applyFont="1" applyBorder="1" applyAlignment="1">
      <alignment horizontal="right" vertical="center"/>
    </xf>
    <xf numFmtId="10" fontId="42" fillId="0" borderId="8" xfId="2" applyNumberFormat="1" applyFont="1" applyBorder="1" applyAlignment="1">
      <alignment horizontal="left" vertical="center" wrapText="1"/>
    </xf>
    <xf numFmtId="0" fontId="0" fillId="0" borderId="0" xfId="0" applyAlignment="1">
      <alignment horizontal="right" vertical="center" wrapText="1" indent="2"/>
    </xf>
    <xf numFmtId="0" fontId="0" fillId="0" borderId="55" xfId="0" applyBorder="1" applyAlignment="1">
      <alignment horizontal="left" indent="1"/>
    </xf>
    <xf numFmtId="3" fontId="0" fillId="0" borderId="53" xfId="0" applyNumberFormat="1" applyBorder="1" applyAlignment="1">
      <alignment horizontal="right" indent="1"/>
    </xf>
    <xf numFmtId="0" fontId="0" fillId="0" borderId="11" xfId="0" applyBorder="1"/>
    <xf numFmtId="0" fontId="0" fillId="0" borderId="58" xfId="0" applyBorder="1"/>
    <xf numFmtId="3" fontId="9" fillId="0" borderId="0" xfId="0" applyNumberFormat="1" applyFont="1" applyAlignment="1">
      <alignment horizontal="right" indent="1"/>
    </xf>
    <xf numFmtId="3" fontId="27" fillId="0" borderId="0" xfId="2" applyNumberFormat="1" applyFont="1" applyFill="1" applyBorder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/>
    </xf>
    <xf numFmtId="3" fontId="31" fillId="0" borderId="0" xfId="3" applyNumberFormat="1" applyFont="1" applyAlignment="1">
      <alignment vertical="center" wrapText="1"/>
    </xf>
    <xf numFmtId="3" fontId="31" fillId="0" borderId="0" xfId="3" applyNumberFormat="1" applyFont="1" applyAlignment="1">
      <alignment horizontal="right" vertical="center" wrapText="1" indent="2"/>
    </xf>
    <xf numFmtId="0" fontId="10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right" vertical="center" wrapText="1" indent="2"/>
    </xf>
    <xf numFmtId="0" fontId="19" fillId="2" borderId="35" xfId="0" applyFont="1" applyFill="1" applyBorder="1" applyAlignment="1">
      <alignment vertical="center"/>
    </xf>
    <xf numFmtId="9" fontId="17" fillId="2" borderId="8" xfId="2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2" fillId="0" borderId="75" xfId="0" applyFont="1" applyBorder="1" applyAlignment="1">
      <alignment horizontal="left" vertical="center" indent="2"/>
    </xf>
    <xf numFmtId="0" fontId="23" fillId="0" borderId="75" xfId="0" applyFont="1" applyBorder="1" applyAlignment="1">
      <alignment vertical="center"/>
    </xf>
    <xf numFmtId="9" fontId="23" fillId="0" borderId="8" xfId="2" applyFont="1" applyBorder="1" applyAlignment="1">
      <alignment horizontal="center" vertical="center"/>
    </xf>
    <xf numFmtId="2" fontId="23" fillId="0" borderId="8" xfId="3" applyNumberFormat="1" applyFont="1" applyBorder="1" applyAlignment="1">
      <alignment horizontal="right" vertical="center" indent="2"/>
    </xf>
    <xf numFmtId="0" fontId="18" fillId="2" borderId="6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left" vertical="center" indent="2"/>
    </xf>
    <xf numFmtId="2" fontId="20" fillId="2" borderId="8" xfId="3" applyNumberFormat="1" applyFont="1" applyFill="1" applyBorder="1" applyAlignment="1">
      <alignment horizontal="right" vertical="center" indent="2"/>
    </xf>
    <xf numFmtId="0" fontId="20" fillId="0" borderId="71" xfId="3" applyFont="1" applyBorder="1" applyAlignment="1">
      <alignment horizontal="left" vertical="center" wrapText="1"/>
    </xf>
    <xf numFmtId="0" fontId="0" fillId="0" borderId="71" xfId="0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 wrapText="1"/>
    </xf>
    <xf numFmtId="9" fontId="17" fillId="0" borderId="8" xfId="2" applyFont="1" applyBorder="1" applyAlignment="1">
      <alignment horizontal="center" vertical="center"/>
    </xf>
    <xf numFmtId="2" fontId="20" fillId="0" borderId="8" xfId="3" applyNumberFormat="1" applyFont="1" applyBorder="1" applyAlignment="1">
      <alignment horizontal="right" vertical="center" indent="2"/>
    </xf>
    <xf numFmtId="0" fontId="20" fillId="0" borderId="76" xfId="3" applyFont="1" applyBorder="1" applyAlignment="1">
      <alignment horizontal="left" vertical="center" wrapText="1"/>
    </xf>
    <xf numFmtId="0" fontId="20" fillId="0" borderId="76" xfId="3" applyFont="1" applyBorder="1" applyAlignment="1">
      <alignment horizontal="center" vertical="center" wrapText="1"/>
    </xf>
    <xf numFmtId="3" fontId="20" fillId="2" borderId="6" xfId="3" applyNumberFormat="1" applyFont="1" applyFill="1" applyBorder="1" applyAlignment="1">
      <alignment horizontal="center" vertical="center" wrapText="1"/>
    </xf>
    <xf numFmtId="9" fontId="17" fillId="2" borderId="36" xfId="2" applyFont="1" applyFill="1" applyBorder="1" applyAlignment="1">
      <alignment horizontal="center" vertical="center"/>
    </xf>
    <xf numFmtId="0" fontId="20" fillId="0" borderId="71" xfId="3" applyFont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9" fontId="17" fillId="0" borderId="36" xfId="2" applyFont="1" applyBorder="1" applyAlignment="1">
      <alignment horizontal="center" vertical="center"/>
    </xf>
    <xf numFmtId="9" fontId="17" fillId="0" borderId="78" xfId="2" applyFont="1" applyBorder="1" applyAlignment="1">
      <alignment horizontal="center" vertical="center"/>
    </xf>
    <xf numFmtId="9" fontId="17" fillId="0" borderId="79" xfId="2" applyFont="1" applyBorder="1" applyAlignment="1">
      <alignment horizontal="center" vertical="center"/>
    </xf>
    <xf numFmtId="3" fontId="20" fillId="0" borderId="6" xfId="3" applyNumberFormat="1" applyFont="1" applyBorder="1" applyAlignment="1">
      <alignment horizontal="center" vertical="center" wrapText="1"/>
    </xf>
    <xf numFmtId="0" fontId="20" fillId="0" borderId="70" xfId="3" applyFont="1" applyBorder="1" applyAlignment="1">
      <alignment horizontal="center" vertical="center" wrapText="1"/>
    </xf>
    <xf numFmtId="9" fontId="17" fillId="0" borderId="80" xfId="2" applyFont="1" applyBorder="1" applyAlignment="1">
      <alignment horizontal="center" vertical="center"/>
    </xf>
    <xf numFmtId="0" fontId="21" fillId="3" borderId="68" xfId="0" applyFont="1" applyFill="1" applyBorder="1" applyAlignment="1">
      <alignment horizontal="center" vertical="center" wrapText="1"/>
    </xf>
    <xf numFmtId="0" fontId="21" fillId="3" borderId="53" xfId="0" applyFont="1" applyFill="1" applyBorder="1" applyAlignment="1">
      <alignment horizontal="center" vertical="center" wrapText="1"/>
    </xf>
    <xf numFmtId="2" fontId="21" fillId="3" borderId="53" xfId="0" applyNumberFormat="1" applyFont="1" applyFill="1" applyBorder="1" applyAlignment="1">
      <alignment horizontal="center" vertical="center" wrapText="1"/>
    </xf>
    <xf numFmtId="9" fontId="17" fillId="0" borderId="73" xfId="2" applyFont="1" applyBorder="1" applyAlignment="1">
      <alignment horizontal="center" vertical="center"/>
    </xf>
    <xf numFmtId="2" fontId="20" fillId="0" borderId="73" xfId="3" applyNumberFormat="1" applyFont="1" applyBorder="1" applyAlignment="1">
      <alignment horizontal="right" vertical="center" indent="2"/>
    </xf>
    <xf numFmtId="9" fontId="17" fillId="0" borderId="39" xfId="2" applyFont="1" applyBorder="1" applyAlignment="1">
      <alignment horizontal="center" vertical="center"/>
    </xf>
    <xf numFmtId="9" fontId="17" fillId="0" borderId="34" xfId="2" applyFont="1" applyBorder="1" applyAlignment="1">
      <alignment horizontal="center" vertical="center"/>
    </xf>
    <xf numFmtId="49" fontId="0" fillId="0" borderId="84" xfId="0" applyNumberFormat="1" applyBorder="1" applyAlignment="1">
      <alignment horizontal="right" vertical="center"/>
    </xf>
    <xf numFmtId="2" fontId="20" fillId="0" borderId="39" xfId="3" applyNumberFormat="1" applyFont="1" applyBorder="1" applyAlignment="1">
      <alignment horizontal="right" vertical="center" indent="2"/>
    </xf>
    <xf numFmtId="49" fontId="0" fillId="0" borderId="85" xfId="0" applyNumberFormat="1" applyBorder="1" applyAlignment="1">
      <alignment horizontal="right" vertical="center"/>
    </xf>
    <xf numFmtId="2" fontId="20" fillId="0" borderId="34" xfId="3" applyNumberFormat="1" applyFont="1" applyBorder="1" applyAlignment="1">
      <alignment horizontal="right" vertical="center" indent="2"/>
    </xf>
    <xf numFmtId="2" fontId="20" fillId="0" borderId="30" xfId="3" applyNumberFormat="1" applyFont="1" applyBorder="1" applyAlignment="1">
      <alignment horizontal="right" vertical="center" indent="2"/>
    </xf>
    <xf numFmtId="49" fontId="20" fillId="0" borderId="85" xfId="3" quotePrefix="1" applyNumberFormat="1" applyFont="1" applyBorder="1" applyAlignment="1">
      <alignment horizontal="right" vertical="center" wrapText="1"/>
    </xf>
    <xf numFmtId="49" fontId="20" fillId="0" borderId="86" xfId="3" quotePrefix="1" applyNumberFormat="1" applyFont="1" applyBorder="1" applyAlignment="1">
      <alignment horizontal="right" vertical="center" wrapText="1"/>
    </xf>
    <xf numFmtId="49" fontId="20" fillId="0" borderId="38" xfId="3" quotePrefix="1" applyNumberFormat="1" applyFont="1" applyBorder="1" applyAlignment="1">
      <alignment horizontal="right" vertical="center" wrapText="1"/>
    </xf>
    <xf numFmtId="49" fontId="20" fillId="0" borderId="47" xfId="3" quotePrefix="1" applyNumberFormat="1" applyFont="1" applyBorder="1" applyAlignment="1">
      <alignment horizontal="right" vertical="center" wrapText="1"/>
    </xf>
    <xf numFmtId="2" fontId="20" fillId="0" borderId="87" xfId="3" applyNumberFormat="1" applyFont="1" applyBorder="1" applyAlignment="1">
      <alignment horizontal="right" vertical="center" indent="2"/>
    </xf>
    <xf numFmtId="0" fontId="18" fillId="2" borderId="41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left" vertical="center" indent="2"/>
    </xf>
    <xf numFmtId="0" fontId="19" fillId="2" borderId="18" xfId="0" applyFont="1" applyFill="1" applyBorder="1" applyAlignment="1">
      <alignment vertical="center"/>
    </xf>
    <xf numFmtId="2" fontId="19" fillId="2" borderId="18" xfId="0" applyNumberFormat="1" applyFont="1" applyFill="1" applyBorder="1" applyAlignment="1">
      <alignment vertical="center"/>
    </xf>
    <xf numFmtId="9" fontId="17" fillId="2" borderId="63" xfId="2" applyFont="1" applyFill="1" applyBorder="1" applyAlignment="1">
      <alignment horizontal="center" vertical="center"/>
    </xf>
    <xf numFmtId="2" fontId="20" fillId="2" borderId="21" xfId="3" applyNumberFormat="1" applyFont="1" applyFill="1" applyBorder="1" applyAlignment="1">
      <alignment horizontal="right" vertical="center" indent="2"/>
    </xf>
    <xf numFmtId="49" fontId="20" fillId="0" borderId="40" xfId="3" quotePrefix="1" applyNumberFormat="1" applyFont="1" applyBorder="1" applyAlignment="1">
      <alignment horizontal="right" vertical="center" wrapText="1"/>
    </xf>
    <xf numFmtId="0" fontId="20" fillId="0" borderId="88" xfId="3" applyFont="1" applyBorder="1" applyAlignment="1">
      <alignment horizontal="left" vertical="center" wrapText="1"/>
    </xf>
    <xf numFmtId="0" fontId="20" fillId="7" borderId="88" xfId="3" applyFont="1" applyFill="1" applyBorder="1" applyAlignment="1">
      <alignment horizontal="center" wrapText="1"/>
    </xf>
    <xf numFmtId="2" fontId="20" fillId="0" borderId="89" xfId="3" applyNumberFormat="1" applyFont="1" applyBorder="1" applyAlignment="1">
      <alignment horizontal="right" vertical="center" indent="2"/>
    </xf>
    <xf numFmtId="0" fontId="19" fillId="2" borderId="23" xfId="0" applyFont="1" applyFill="1" applyBorder="1" applyAlignment="1">
      <alignment vertical="center"/>
    </xf>
    <xf numFmtId="0" fontId="21" fillId="3" borderId="90" xfId="0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vertical="center"/>
    </xf>
    <xf numFmtId="166" fontId="20" fillId="0" borderId="56" xfId="4" applyNumberFormat="1" applyFont="1" applyBorder="1" applyAlignment="1">
      <alignment horizontal="right" vertical="center" wrapText="1" indent="1"/>
    </xf>
    <xf numFmtId="166" fontId="20" fillId="0" borderId="67" xfId="4" applyNumberFormat="1" applyFont="1" applyBorder="1" applyAlignment="1">
      <alignment horizontal="right" vertical="center" wrapText="1" indent="1"/>
    </xf>
    <xf numFmtId="164" fontId="19" fillId="2" borderId="74" xfId="0" applyNumberFormat="1" applyFont="1" applyFill="1" applyBorder="1" applyAlignment="1">
      <alignment horizontal="right" vertical="center" indent="1"/>
    </xf>
    <xf numFmtId="3" fontId="0" fillId="0" borderId="92" xfId="0" applyNumberFormat="1" applyBorder="1" applyAlignment="1">
      <alignment horizontal="right" vertical="center" indent="2"/>
    </xf>
    <xf numFmtId="164" fontId="24" fillId="0" borderId="8" xfId="0" applyNumberFormat="1" applyFont="1" applyBorder="1" applyAlignment="1">
      <alignment horizontal="right" vertical="center" indent="1"/>
    </xf>
    <xf numFmtId="3" fontId="4" fillId="0" borderId="92" xfId="0" applyNumberFormat="1" applyFont="1" applyBorder="1" applyAlignment="1">
      <alignment horizontal="right" vertical="center" indent="2"/>
    </xf>
    <xf numFmtId="0" fontId="20" fillId="7" borderId="66" xfId="3" applyFont="1" applyFill="1" applyBorder="1" applyAlignment="1">
      <alignment horizontal="center" wrapText="1"/>
    </xf>
    <xf numFmtId="166" fontId="20" fillId="7" borderId="56" xfId="4" applyNumberFormat="1" applyFont="1" applyFill="1" applyBorder="1" applyAlignment="1">
      <alignment horizontal="right" wrapText="1" indent="1"/>
    </xf>
    <xf numFmtId="3" fontId="20" fillId="7" borderId="56" xfId="3" applyNumberFormat="1" applyFont="1" applyFill="1" applyBorder="1" applyAlignment="1">
      <alignment horizontal="right" wrapText="1" indent="1"/>
    </xf>
    <xf numFmtId="49" fontId="0" fillId="0" borderId="65" xfId="0" applyNumberFormat="1" applyBorder="1" applyAlignment="1">
      <alignment horizontal="right" vertical="center"/>
    </xf>
    <xf numFmtId="0" fontId="0" fillId="0" borderId="66" xfId="0" applyBorder="1" applyAlignment="1">
      <alignment horizontal="center" vertical="center"/>
    </xf>
    <xf numFmtId="2" fontId="0" fillId="0" borderId="56" xfId="0" applyNumberFormat="1" applyBorder="1" applyAlignment="1">
      <alignment horizontal="right" vertical="center" indent="1"/>
    </xf>
    <xf numFmtId="3" fontId="0" fillId="0" borderId="56" xfId="0" applyNumberFormat="1" applyBorder="1" applyAlignment="1">
      <alignment horizontal="right" vertical="center" indent="1"/>
    </xf>
    <xf numFmtId="4" fontId="20" fillId="0" borderId="41" xfId="3" applyNumberFormat="1" applyFont="1" applyBorder="1" applyAlignment="1">
      <alignment horizontal="center" vertical="center" wrapText="1"/>
    </xf>
    <xf numFmtId="9" fontId="17" fillId="0" borderId="21" xfId="2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0" fillId="0" borderId="34" xfId="3" applyFont="1" applyBorder="1" applyAlignment="1">
      <alignment horizontal="right" vertical="center" indent="2"/>
    </xf>
    <xf numFmtId="0" fontId="20" fillId="7" borderId="71" xfId="3" applyFont="1" applyFill="1" applyBorder="1" applyAlignment="1">
      <alignment horizontal="center" wrapText="1"/>
    </xf>
    <xf numFmtId="9" fontId="17" fillId="0" borderId="93" xfId="2" applyFont="1" applyBorder="1" applyAlignment="1">
      <alignment horizontal="center" vertical="center"/>
    </xf>
    <xf numFmtId="0" fontId="20" fillId="0" borderId="31" xfId="3" applyFont="1" applyBorder="1" applyAlignment="1">
      <alignment horizontal="right" vertical="center" indent="2"/>
    </xf>
    <xf numFmtId="3" fontId="43" fillId="0" borderId="0" xfId="3" applyNumberFormat="1" applyFont="1" applyAlignment="1">
      <alignment vertical="center" wrapText="1"/>
    </xf>
    <xf numFmtId="3" fontId="43" fillId="0" borderId="0" xfId="3" applyNumberFormat="1" applyFont="1" applyAlignment="1">
      <alignment horizontal="right" vertical="center" wrapText="1" indent="2"/>
    </xf>
    <xf numFmtId="0" fontId="44" fillId="0" borderId="0" xfId="0" applyFont="1"/>
    <xf numFmtId="0" fontId="44" fillId="0" borderId="0" xfId="0" applyFont="1" applyAlignment="1">
      <alignment horizontal="left" indent="6"/>
    </xf>
    <xf numFmtId="0" fontId="45" fillId="0" borderId="0" xfId="0" applyFont="1"/>
    <xf numFmtId="0" fontId="45" fillId="0" borderId="0" xfId="0" applyFont="1" applyAlignment="1">
      <alignment horizontal="center"/>
    </xf>
    <xf numFmtId="3" fontId="46" fillId="0" borderId="0" xfId="3" applyNumberFormat="1" applyFont="1" applyAlignment="1">
      <alignment vertical="center" wrapText="1"/>
    </xf>
    <xf numFmtId="3" fontId="47" fillId="0" borderId="0" xfId="3" applyNumberFormat="1" applyFont="1" applyAlignment="1">
      <alignment vertical="center" wrapText="1"/>
    </xf>
    <xf numFmtId="3" fontId="47" fillId="0" borderId="0" xfId="3" applyNumberFormat="1" applyFont="1" applyAlignment="1">
      <alignment horizontal="right" vertical="center" wrapText="1" indent="2"/>
    </xf>
    <xf numFmtId="0" fontId="44" fillId="0" borderId="0" xfId="0" applyFont="1" applyAlignment="1">
      <alignment horizontal="center"/>
    </xf>
    <xf numFmtId="3" fontId="48" fillId="0" borderId="0" xfId="3" applyNumberFormat="1" applyFont="1" applyAlignment="1">
      <alignment vertical="center" wrapText="1"/>
    </xf>
    <xf numFmtId="3" fontId="48" fillId="0" borderId="0" xfId="3" applyNumberFormat="1" applyFont="1" applyAlignment="1">
      <alignment horizontal="right" vertical="center" wrapText="1" indent="2"/>
    </xf>
    <xf numFmtId="0" fontId="0" fillId="5" borderId="38" xfId="0" applyFill="1" applyBorder="1"/>
    <xf numFmtId="0" fontId="0" fillId="0" borderId="99" xfId="0" applyBorder="1" applyAlignment="1">
      <alignment vertical="center"/>
    </xf>
    <xf numFmtId="0" fontId="22" fillId="0" borderId="100" xfId="0" applyFont="1" applyBorder="1" applyAlignment="1">
      <alignment horizontal="left" vertical="center" indent="2"/>
    </xf>
    <xf numFmtId="0" fontId="23" fillId="0" borderId="100" xfId="0" applyFont="1" applyBorder="1" applyAlignment="1">
      <alignment vertical="center"/>
    </xf>
    <xf numFmtId="2" fontId="23" fillId="0" borderId="100" xfId="0" applyNumberFormat="1" applyFont="1" applyBorder="1" applyAlignment="1">
      <alignment vertical="center"/>
    </xf>
    <xf numFmtId="164" fontId="23" fillId="0" borderId="100" xfId="0" applyNumberFormat="1" applyFont="1" applyBorder="1" applyAlignment="1">
      <alignment vertical="center"/>
    </xf>
    <xf numFmtId="164" fontId="24" fillId="0" borderId="101" xfId="0" applyNumberFormat="1" applyFont="1" applyBorder="1" applyAlignment="1">
      <alignment horizontal="right" vertical="center" indent="1"/>
    </xf>
    <xf numFmtId="3" fontId="23" fillId="0" borderId="102" xfId="3" applyNumberFormat="1" applyFont="1" applyBorder="1" applyAlignment="1">
      <alignment horizontal="center" vertical="center" wrapText="1"/>
    </xf>
    <xf numFmtId="164" fontId="23" fillId="0" borderId="101" xfId="0" applyNumberFormat="1" applyFont="1" applyBorder="1" applyAlignment="1">
      <alignment horizontal="right" vertical="center" indent="1"/>
    </xf>
    <xf numFmtId="4" fontId="23" fillId="4" borderId="102" xfId="3" applyNumberFormat="1" applyFont="1" applyFill="1" applyBorder="1" applyAlignment="1">
      <alignment horizontal="center" vertical="center" wrapText="1"/>
    </xf>
    <xf numFmtId="164" fontId="23" fillId="4" borderId="101" xfId="0" applyNumberFormat="1" applyFont="1" applyFill="1" applyBorder="1" applyAlignment="1">
      <alignment horizontal="right" vertical="center" indent="1"/>
    </xf>
    <xf numFmtId="2" fontId="23" fillId="0" borderId="102" xfId="3" applyNumberFormat="1" applyFont="1" applyBorder="1" applyAlignment="1">
      <alignment horizontal="center" vertical="center"/>
    </xf>
    <xf numFmtId="9" fontId="23" fillId="0" borderId="98" xfId="2" applyFont="1" applyBorder="1" applyAlignment="1">
      <alignment horizontal="center" vertical="center"/>
    </xf>
    <xf numFmtId="2" fontId="23" fillId="0" borderId="102" xfId="3" applyNumberFormat="1" applyFont="1" applyBorder="1" applyAlignment="1">
      <alignment horizontal="right" vertical="center" indent="2"/>
    </xf>
    <xf numFmtId="0" fontId="0" fillId="5" borderId="49" xfId="0" applyFill="1" applyBorder="1"/>
    <xf numFmtId="0" fontId="10" fillId="0" borderId="55" xfId="0" applyFont="1" applyBorder="1" applyAlignment="1">
      <alignment horizontal="left" indent="1"/>
    </xf>
    <xf numFmtId="168" fontId="0" fillId="0" borderId="0" xfId="0" applyNumberFormat="1"/>
    <xf numFmtId="0" fontId="25" fillId="0" borderId="103" xfId="0" applyFont="1" applyBorder="1"/>
    <xf numFmtId="166" fontId="20" fillId="0" borderId="77" xfId="4" applyNumberFormat="1" applyFont="1" applyBorder="1" applyAlignment="1">
      <alignment horizontal="right" vertical="center" wrapText="1" indent="1"/>
    </xf>
    <xf numFmtId="166" fontId="20" fillId="0" borderId="72" xfId="4" applyNumberFormat="1" applyFont="1" applyBorder="1" applyAlignment="1">
      <alignment horizontal="right" vertical="center" wrapText="1" indent="1"/>
    </xf>
    <xf numFmtId="4" fontId="20" fillId="0" borderId="59" xfId="3" applyNumberFormat="1" applyFont="1" applyBorder="1" applyAlignment="1">
      <alignment horizontal="center" vertical="center" wrapText="1"/>
    </xf>
    <xf numFmtId="166" fontId="20" fillId="7" borderId="105" xfId="4" applyNumberFormat="1" applyFont="1" applyFill="1" applyBorder="1" applyAlignment="1">
      <alignment horizontal="right" wrapText="1" indent="1"/>
    </xf>
    <xf numFmtId="166" fontId="20" fillId="7" borderId="72" xfId="4" applyNumberFormat="1" applyFont="1" applyFill="1" applyBorder="1" applyAlignment="1">
      <alignment horizontal="right" wrapText="1" indent="1"/>
    </xf>
    <xf numFmtId="166" fontId="20" fillId="7" borderId="77" xfId="4" applyNumberFormat="1" applyFont="1" applyFill="1" applyBorder="1" applyAlignment="1">
      <alignment horizontal="right" wrapText="1" indent="1"/>
    </xf>
    <xf numFmtId="166" fontId="20" fillId="7" borderId="81" xfId="4" applyNumberFormat="1" applyFont="1" applyFill="1" applyBorder="1" applyAlignment="1">
      <alignment horizontal="right" wrapText="1" indent="1"/>
    </xf>
    <xf numFmtId="4" fontId="20" fillId="0" borderId="40" xfId="3" applyNumberFormat="1" applyFont="1" applyBorder="1" applyAlignment="1">
      <alignment horizontal="center" vertical="center" wrapText="1"/>
    </xf>
    <xf numFmtId="4" fontId="20" fillId="0" borderId="47" xfId="3" applyNumberFormat="1" applyFont="1" applyBorder="1" applyAlignment="1">
      <alignment horizontal="center" vertical="center" wrapText="1"/>
    </xf>
    <xf numFmtId="4" fontId="20" fillId="0" borderId="38" xfId="3" applyNumberFormat="1" applyFont="1" applyBorder="1" applyAlignment="1">
      <alignment horizontal="center" vertical="center" wrapText="1"/>
    </xf>
    <xf numFmtId="4" fontId="20" fillId="0" borderId="48" xfId="3" applyNumberFormat="1" applyFont="1" applyBorder="1" applyAlignment="1">
      <alignment horizontal="center" vertical="center" wrapText="1"/>
    </xf>
    <xf numFmtId="3" fontId="20" fillId="2" borderId="31" xfId="3" applyNumberFormat="1" applyFont="1" applyFill="1" applyBorder="1" applyAlignment="1">
      <alignment horizontal="center" vertical="center" wrapText="1"/>
    </xf>
    <xf numFmtId="3" fontId="20" fillId="0" borderId="42" xfId="3" applyNumberFormat="1" applyFont="1" applyBorder="1" applyAlignment="1">
      <alignment horizontal="center" vertical="center" wrapText="1"/>
    </xf>
    <xf numFmtId="166" fontId="20" fillId="0" borderId="81" xfId="4" applyNumberFormat="1" applyFont="1" applyBorder="1" applyAlignment="1">
      <alignment horizontal="right" vertical="center" wrapText="1" indent="1"/>
    </xf>
    <xf numFmtId="4" fontId="20" fillId="0" borderId="96" xfId="3" applyNumberFormat="1" applyFont="1" applyBorder="1" applyAlignment="1">
      <alignment horizontal="center" vertical="center" wrapText="1"/>
    </xf>
    <xf numFmtId="167" fontId="20" fillId="0" borderId="77" xfId="4" applyNumberFormat="1" applyFont="1" applyBorder="1" applyAlignment="1">
      <alignment horizontal="right" vertical="center" wrapText="1" indent="1"/>
    </xf>
    <xf numFmtId="2" fontId="0" fillId="0" borderId="77" xfId="0" applyNumberFormat="1" applyBorder="1" applyAlignment="1">
      <alignment horizontal="right" vertical="center" indent="1"/>
    </xf>
    <xf numFmtId="2" fontId="0" fillId="0" borderId="72" xfId="0" applyNumberFormat="1" applyBorder="1" applyAlignment="1">
      <alignment horizontal="right" vertical="center" indent="1"/>
    </xf>
    <xf numFmtId="2" fontId="4" fillId="0" borderId="77" xfId="0" applyNumberFormat="1" applyFont="1" applyBorder="1" applyAlignment="1">
      <alignment horizontal="right" vertical="center" indent="1"/>
    </xf>
    <xf numFmtId="2" fontId="4" fillId="0" borderId="72" xfId="0" applyNumberFormat="1" applyFont="1" applyBorder="1" applyAlignment="1">
      <alignment horizontal="right" vertical="center" indent="1"/>
    </xf>
    <xf numFmtId="2" fontId="23" fillId="0" borderId="82" xfId="0" applyNumberFormat="1" applyFont="1" applyBorder="1" applyAlignment="1">
      <alignment vertical="center"/>
    </xf>
    <xf numFmtId="2" fontId="19" fillId="2" borderId="57" xfId="0" applyNumberFormat="1" applyFont="1" applyFill="1" applyBorder="1" applyAlignment="1">
      <alignment vertical="center"/>
    </xf>
    <xf numFmtId="9" fontId="10" fillId="0" borderId="1" xfId="2" applyFont="1" applyBorder="1" applyAlignment="1">
      <alignment horizontal="left"/>
    </xf>
    <xf numFmtId="9" fontId="10" fillId="0" borderId="1" xfId="2" applyFont="1" applyBorder="1" applyAlignment="1"/>
    <xf numFmtId="169" fontId="0" fillId="0" borderId="0" xfId="0" applyNumberFormat="1"/>
    <xf numFmtId="41" fontId="0" fillId="0" borderId="0" xfId="1" applyFon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2" fontId="19" fillId="2" borderId="16" xfId="0" applyNumberFormat="1" applyFont="1" applyFill="1" applyBorder="1" applyAlignment="1">
      <alignment vertical="center"/>
    </xf>
    <xf numFmtId="2" fontId="21" fillId="3" borderId="16" xfId="0" applyNumberFormat="1" applyFont="1" applyFill="1" applyBorder="1" applyAlignment="1">
      <alignment horizontal="center" vertical="center" wrapText="1"/>
    </xf>
    <xf numFmtId="0" fontId="21" fillId="3" borderId="82" xfId="0" applyFont="1" applyFill="1" applyBorder="1" applyAlignment="1">
      <alignment horizontal="center" vertical="center" wrapText="1"/>
    </xf>
    <xf numFmtId="4" fontId="4" fillId="4" borderId="58" xfId="2" applyNumberFormat="1" applyFont="1" applyFill="1" applyBorder="1" applyAlignment="1">
      <alignment horizontal="center" vertical="center"/>
    </xf>
    <xf numFmtId="4" fontId="4" fillId="4" borderId="9" xfId="2" applyNumberFormat="1" applyFont="1" applyFill="1" applyBorder="1" applyAlignment="1">
      <alignment horizontal="center"/>
    </xf>
    <xf numFmtId="4" fontId="0" fillId="4" borderId="9" xfId="2" applyNumberFormat="1" applyFont="1" applyFill="1" applyBorder="1" applyAlignment="1">
      <alignment horizontal="center" vertical="center"/>
    </xf>
    <xf numFmtId="4" fontId="7" fillId="4" borderId="9" xfId="2" applyNumberFormat="1" applyFont="1" applyFill="1" applyBorder="1" applyAlignment="1">
      <alignment horizontal="center" vertical="center"/>
    </xf>
    <xf numFmtId="3" fontId="10" fillId="6" borderId="56" xfId="0" applyNumberFormat="1" applyFont="1" applyFill="1" applyBorder="1" applyAlignment="1">
      <alignment horizontal="center" vertical="center"/>
    </xf>
    <xf numFmtId="0" fontId="10" fillId="6" borderId="56" xfId="0" applyFont="1" applyFill="1" applyBorder="1" applyAlignment="1">
      <alignment horizontal="center" vertical="center"/>
    </xf>
    <xf numFmtId="9" fontId="17" fillId="6" borderId="56" xfId="2" applyFont="1" applyFill="1" applyBorder="1" applyAlignment="1">
      <alignment horizontal="center" vertical="center"/>
    </xf>
    <xf numFmtId="9" fontId="10" fillId="0" borderId="43" xfId="2" applyFont="1" applyBorder="1"/>
    <xf numFmtId="3" fontId="17" fillId="0" borderId="5" xfId="3" applyNumberFormat="1" applyFont="1" applyBorder="1" applyAlignment="1">
      <alignment horizontal="center" vertical="center" wrapText="1"/>
    </xf>
    <xf numFmtId="0" fontId="21" fillId="3" borderId="41" xfId="0" applyFont="1" applyFill="1" applyBorder="1" applyAlignment="1">
      <alignment horizontal="center" vertical="center" wrapText="1"/>
    </xf>
    <xf numFmtId="0" fontId="21" fillId="3" borderId="109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2" fontId="21" fillId="3" borderId="20" xfId="0" applyNumberFormat="1" applyFont="1" applyFill="1" applyBorder="1" applyAlignment="1">
      <alignment horizontal="center" vertical="center" wrapText="1"/>
    </xf>
    <xf numFmtId="3" fontId="20" fillId="0" borderId="1" xfId="3" applyNumberFormat="1" applyFont="1" applyBorder="1" applyAlignment="1">
      <alignment horizontal="center" vertical="center" wrapText="1"/>
    </xf>
    <xf numFmtId="9" fontId="17" fillId="0" borderId="63" xfId="2" applyFont="1" applyBorder="1" applyAlignment="1">
      <alignment horizontal="center" vertical="center"/>
    </xf>
    <xf numFmtId="2" fontId="20" fillId="0" borderId="63" xfId="3" applyNumberFormat="1" applyFont="1" applyBorder="1" applyAlignment="1">
      <alignment horizontal="right" vertical="center" indent="2"/>
    </xf>
    <xf numFmtId="0" fontId="18" fillId="2" borderId="24" xfId="0" applyFont="1" applyFill="1" applyBorder="1" applyAlignment="1">
      <alignment horizontal="left" vertical="center" indent="2"/>
    </xf>
    <xf numFmtId="3" fontId="20" fillId="2" borderId="24" xfId="3" applyNumberFormat="1" applyFont="1" applyFill="1" applyBorder="1" applyAlignment="1">
      <alignment horizontal="center" vertical="center" wrapText="1"/>
    </xf>
    <xf numFmtId="2" fontId="17" fillId="2" borderId="24" xfId="3" applyNumberFormat="1" applyFont="1" applyFill="1" applyBorder="1" applyAlignment="1">
      <alignment horizontal="center" vertical="center"/>
    </xf>
    <xf numFmtId="9" fontId="17" fillId="2" borderId="24" xfId="2" applyFont="1" applyFill="1" applyBorder="1" applyAlignment="1">
      <alignment horizontal="center" vertical="center"/>
    </xf>
    <xf numFmtId="2" fontId="20" fillId="2" borderId="25" xfId="3" applyNumberFormat="1" applyFont="1" applyFill="1" applyBorder="1" applyAlignment="1">
      <alignment horizontal="right" vertical="center" indent="2"/>
    </xf>
    <xf numFmtId="2" fontId="21" fillId="3" borderId="19" xfId="0" applyNumberFormat="1" applyFont="1" applyFill="1" applyBorder="1" applyAlignment="1">
      <alignment horizontal="center" vertical="center" wrapText="1"/>
    </xf>
    <xf numFmtId="3" fontId="20" fillId="0" borderId="41" xfId="3" applyNumberFormat="1" applyFont="1" applyBorder="1" applyAlignment="1">
      <alignment horizontal="center" vertical="center" wrapText="1"/>
    </xf>
    <xf numFmtId="3" fontId="17" fillId="0" borderId="59" xfId="3" applyNumberFormat="1" applyFont="1" applyBorder="1" applyAlignment="1">
      <alignment horizontal="center" vertical="center" wrapText="1"/>
    </xf>
    <xf numFmtId="9" fontId="17" fillId="0" borderId="14" xfId="2" applyFont="1" applyBorder="1" applyAlignment="1">
      <alignment horizontal="center" vertical="center"/>
    </xf>
    <xf numFmtId="164" fontId="50" fillId="0" borderId="0" xfId="0" applyNumberFormat="1" applyFont="1" applyAlignment="1">
      <alignment horizontal="right" indent="2"/>
    </xf>
    <xf numFmtId="3" fontId="50" fillId="0" borderId="0" xfId="0" applyNumberFormat="1" applyFont="1" applyAlignment="1">
      <alignment horizontal="right" indent="2"/>
    </xf>
    <xf numFmtId="3" fontId="17" fillId="0" borderId="4" xfId="3" applyNumberFormat="1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/>
    </xf>
    <xf numFmtId="49" fontId="18" fillId="2" borderId="41" xfId="0" applyNumberFormat="1" applyFont="1" applyFill="1" applyBorder="1" applyAlignment="1">
      <alignment horizontal="center" vertical="center"/>
    </xf>
    <xf numFmtId="2" fontId="19" fillId="2" borderId="20" xfId="0" applyNumberFormat="1" applyFont="1" applyFill="1" applyBorder="1" applyAlignment="1">
      <alignment vertical="center"/>
    </xf>
    <xf numFmtId="3" fontId="20" fillId="2" borderId="1" xfId="3" applyNumberFormat="1" applyFont="1" applyFill="1" applyBorder="1" applyAlignment="1">
      <alignment horizontal="center" vertical="center" wrapText="1"/>
    </xf>
    <xf numFmtId="2" fontId="17" fillId="2" borderId="63" xfId="3" applyNumberFormat="1" applyFont="1" applyFill="1" applyBorder="1" applyAlignment="1">
      <alignment horizontal="right" vertical="center" indent="2"/>
    </xf>
    <xf numFmtId="4" fontId="20" fillId="2" borderId="19" xfId="3" applyNumberFormat="1" applyFont="1" applyFill="1" applyBorder="1" applyAlignment="1">
      <alignment horizontal="center" vertical="center" wrapText="1"/>
    </xf>
    <xf numFmtId="4" fontId="20" fillId="4" borderId="57" xfId="3" applyNumberFormat="1" applyFont="1" applyFill="1" applyBorder="1" applyAlignment="1">
      <alignment horizontal="center" vertical="center" wrapText="1"/>
    </xf>
    <xf numFmtId="4" fontId="20" fillId="4" borderId="4" xfId="3" applyNumberFormat="1" applyFont="1" applyFill="1" applyBorder="1" applyAlignment="1">
      <alignment horizontal="center" vertical="center" wrapText="1"/>
    </xf>
    <xf numFmtId="4" fontId="20" fillId="4" borderId="91" xfId="3" applyNumberFormat="1" applyFont="1" applyFill="1" applyBorder="1" applyAlignment="1">
      <alignment horizontal="center" vertical="center" wrapText="1"/>
    </xf>
    <xf numFmtId="4" fontId="20" fillId="4" borderId="11" xfId="3" applyNumberFormat="1" applyFont="1" applyFill="1" applyBorder="1" applyAlignment="1">
      <alignment horizontal="center" vertical="center" wrapText="1"/>
    </xf>
    <xf numFmtId="4" fontId="23" fillId="4" borderId="57" xfId="3" applyNumberFormat="1" applyFont="1" applyFill="1" applyBorder="1" applyAlignment="1">
      <alignment horizontal="center" vertical="center" wrapText="1"/>
    </xf>
    <xf numFmtId="4" fontId="20" fillId="2" borderId="57" xfId="3" applyNumberFormat="1" applyFont="1" applyFill="1" applyBorder="1" applyAlignment="1">
      <alignment horizontal="center" vertical="center" wrapText="1"/>
    </xf>
    <xf numFmtId="4" fontId="20" fillId="4" borderId="19" xfId="3" applyNumberFormat="1" applyFont="1" applyFill="1" applyBorder="1" applyAlignment="1">
      <alignment horizontal="center" vertical="center" wrapText="1"/>
    </xf>
    <xf numFmtId="4" fontId="20" fillId="4" borderId="97" xfId="3" applyNumberFormat="1" applyFont="1" applyFill="1" applyBorder="1" applyAlignment="1">
      <alignment horizontal="center" vertical="center" wrapText="1"/>
    </xf>
    <xf numFmtId="4" fontId="20" fillId="2" borderId="23" xfId="3" applyNumberFormat="1" applyFont="1" applyFill="1" applyBorder="1" applyAlignment="1">
      <alignment horizontal="center" vertical="center" wrapText="1"/>
    </xf>
    <xf numFmtId="4" fontId="20" fillId="4" borderId="110" xfId="3" applyNumberFormat="1" applyFont="1" applyFill="1" applyBorder="1" applyAlignment="1">
      <alignment horizontal="center" vertical="center" wrapText="1"/>
    </xf>
    <xf numFmtId="4" fontId="20" fillId="4" borderId="55" xfId="3" applyNumberFormat="1" applyFont="1" applyFill="1" applyBorder="1" applyAlignment="1">
      <alignment horizontal="center" vertical="center" wrapText="1"/>
    </xf>
    <xf numFmtId="4" fontId="20" fillId="4" borderId="90" xfId="3" applyNumberFormat="1" applyFont="1" applyFill="1" applyBorder="1" applyAlignment="1">
      <alignment horizontal="center" vertical="center" wrapText="1"/>
    </xf>
    <xf numFmtId="3" fontId="17" fillId="0" borderId="57" xfId="3" applyNumberFormat="1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/>
    </xf>
    <xf numFmtId="2" fontId="17" fillId="2" borderId="20" xfId="3" applyNumberFormat="1" applyFont="1" applyFill="1" applyBorder="1" applyAlignment="1">
      <alignment horizontal="center" vertical="center"/>
    </xf>
    <xf numFmtId="2" fontId="17" fillId="0" borderId="16" xfId="3" applyNumberFormat="1" applyFont="1" applyBorder="1" applyAlignment="1">
      <alignment horizontal="center" vertical="center"/>
    </xf>
    <xf numFmtId="2" fontId="17" fillId="0" borderId="12" xfId="3" applyNumberFormat="1" applyFont="1" applyBorder="1" applyAlignment="1">
      <alignment horizontal="center" vertical="center"/>
    </xf>
    <xf numFmtId="2" fontId="17" fillId="0" borderId="107" xfId="3" applyNumberFormat="1" applyFont="1" applyBorder="1" applyAlignment="1">
      <alignment horizontal="center" vertical="center"/>
    </xf>
    <xf numFmtId="2" fontId="23" fillId="0" borderId="16" xfId="3" applyNumberFormat="1" applyFont="1" applyBorder="1" applyAlignment="1">
      <alignment horizontal="center" vertical="center"/>
    </xf>
    <xf numFmtId="2" fontId="17" fillId="2" borderId="16" xfId="3" applyNumberFormat="1" applyFont="1" applyFill="1" applyBorder="1" applyAlignment="1">
      <alignment horizontal="center" vertical="center"/>
    </xf>
    <xf numFmtId="2" fontId="17" fillId="0" borderId="20" xfId="3" applyNumberFormat="1" applyFont="1" applyBorder="1" applyAlignment="1">
      <alignment horizontal="center" vertical="center"/>
    </xf>
    <xf numFmtId="2" fontId="17" fillId="0" borderId="94" xfId="3" applyNumberFormat="1" applyFont="1" applyBorder="1" applyAlignment="1">
      <alignment horizontal="center" vertical="center"/>
    </xf>
    <xf numFmtId="2" fontId="17" fillId="0" borderId="50" xfId="3" applyNumberFormat="1" applyFont="1" applyBorder="1" applyAlignment="1">
      <alignment horizontal="center" vertical="center"/>
    </xf>
    <xf numFmtId="2" fontId="17" fillId="2" borderId="23" xfId="3" applyNumberFormat="1" applyFont="1" applyFill="1" applyBorder="1" applyAlignment="1">
      <alignment horizontal="center" vertical="center"/>
    </xf>
    <xf numFmtId="2" fontId="17" fillId="0" borderId="55" xfId="3" applyNumberFormat="1" applyFont="1" applyBorder="1" applyAlignment="1">
      <alignment horizontal="center" vertical="center"/>
    </xf>
    <xf numFmtId="2" fontId="17" fillId="0" borderId="46" xfId="3" applyNumberFormat="1" applyFont="1" applyBorder="1" applyAlignment="1">
      <alignment horizontal="center" vertical="center"/>
    </xf>
    <xf numFmtId="2" fontId="17" fillId="0" borderId="11" xfId="3" applyNumberFormat="1" applyFont="1" applyBorder="1" applyAlignment="1">
      <alignment horizontal="center" vertical="center"/>
    </xf>
    <xf numFmtId="2" fontId="17" fillId="0" borderId="19" xfId="3" applyNumberFormat="1" applyFont="1" applyBorder="1" applyAlignment="1">
      <alignment horizontal="center" vertical="center"/>
    </xf>
    <xf numFmtId="49" fontId="20" fillId="0" borderId="111" xfId="3" quotePrefix="1" applyNumberFormat="1" applyFont="1" applyBorder="1" applyAlignment="1">
      <alignment horizontal="right" vertical="center" wrapText="1"/>
    </xf>
    <xf numFmtId="3" fontId="20" fillId="0" borderId="67" xfId="3" applyNumberFormat="1" applyFont="1" applyBorder="1" applyAlignment="1">
      <alignment horizontal="right" vertical="center" wrapText="1" indent="1"/>
    </xf>
    <xf numFmtId="3" fontId="4" fillId="0" borderId="112" xfId="0" applyNumberFormat="1" applyFont="1" applyBorder="1" applyAlignment="1">
      <alignment horizontal="right" vertical="center" indent="2"/>
    </xf>
    <xf numFmtId="0" fontId="21" fillId="3" borderId="65" xfId="0" applyFont="1" applyFill="1" applyBorder="1" applyAlignment="1">
      <alignment horizontal="center" vertical="center" wrapText="1"/>
    </xf>
    <xf numFmtId="0" fontId="21" fillId="3" borderId="56" xfId="0" applyFont="1" applyFill="1" applyBorder="1" applyAlignment="1">
      <alignment horizontal="center" vertical="center" wrapText="1"/>
    </xf>
    <xf numFmtId="0" fontId="21" fillId="3" borderId="66" xfId="0" applyFont="1" applyFill="1" applyBorder="1" applyAlignment="1">
      <alignment horizontal="center" vertical="center" wrapText="1"/>
    </xf>
    <xf numFmtId="2" fontId="21" fillId="3" borderId="56" xfId="0" applyNumberFormat="1" applyFont="1" applyFill="1" applyBorder="1" applyAlignment="1">
      <alignment horizontal="center" vertical="center" wrapText="1"/>
    </xf>
    <xf numFmtId="164" fontId="10" fillId="3" borderId="56" xfId="0" applyNumberFormat="1" applyFont="1" applyFill="1" applyBorder="1" applyAlignment="1">
      <alignment horizontal="center" vertical="center" wrapText="1"/>
    </xf>
    <xf numFmtId="164" fontId="0" fillId="3" borderId="92" xfId="0" applyNumberFormat="1" applyFill="1" applyBorder="1" applyAlignment="1">
      <alignment horizontal="right" vertical="center" indent="1"/>
    </xf>
    <xf numFmtId="164" fontId="10" fillId="3" borderId="29" xfId="0" applyNumberFormat="1" applyFont="1" applyFill="1" applyBorder="1" applyAlignment="1">
      <alignment horizontal="center" vertical="center" wrapText="1"/>
    </xf>
    <xf numFmtId="164" fontId="0" fillId="3" borderId="30" xfId="0" applyNumberFormat="1" applyFill="1" applyBorder="1" applyAlignment="1">
      <alignment horizontal="right" vertical="center" indent="1"/>
    </xf>
    <xf numFmtId="164" fontId="0" fillId="3" borderId="29" xfId="0" applyNumberFormat="1" applyFill="1" applyBorder="1" applyAlignment="1">
      <alignment vertical="center"/>
    </xf>
    <xf numFmtId="0" fontId="17" fillId="0" borderId="59" xfId="3" applyFont="1" applyBorder="1" applyAlignment="1">
      <alignment horizontal="center" vertical="center"/>
    </xf>
    <xf numFmtId="49" fontId="18" fillId="2" borderId="111" xfId="0" applyNumberFormat="1" applyFont="1" applyFill="1" applyBorder="1" applyAlignment="1">
      <alignment horizontal="center" vertical="center"/>
    </xf>
    <xf numFmtId="0" fontId="18" fillId="2" borderId="60" xfId="0" applyFont="1" applyFill="1" applyBorder="1" applyAlignment="1">
      <alignment horizontal="left" vertical="center" indent="2"/>
    </xf>
    <xf numFmtId="0" fontId="19" fillId="2" borderId="60" xfId="0" applyFont="1" applyFill="1" applyBorder="1" applyAlignment="1">
      <alignment vertical="center"/>
    </xf>
    <xf numFmtId="2" fontId="19" fillId="2" borderId="67" xfId="0" applyNumberFormat="1" applyFont="1" applyFill="1" applyBorder="1" applyAlignment="1">
      <alignment vertical="center"/>
    </xf>
    <xf numFmtId="164" fontId="19" fillId="2" borderId="67" xfId="0" applyNumberFormat="1" applyFont="1" applyFill="1" applyBorder="1" applyAlignment="1">
      <alignment vertical="center"/>
    </xf>
    <xf numFmtId="164" fontId="19" fillId="2" borderId="112" xfId="0" applyNumberFormat="1" applyFont="1" applyFill="1" applyBorder="1" applyAlignment="1">
      <alignment horizontal="right" vertical="center" indent="1"/>
    </xf>
    <xf numFmtId="3" fontId="20" fillId="2" borderId="108" xfId="3" applyNumberFormat="1" applyFont="1" applyFill="1" applyBorder="1" applyAlignment="1">
      <alignment horizontal="center" vertical="center" wrapText="1"/>
    </xf>
    <xf numFmtId="3" fontId="20" fillId="2" borderId="113" xfId="3" applyNumberFormat="1" applyFont="1" applyFill="1" applyBorder="1" applyAlignment="1">
      <alignment horizontal="center" vertical="center" wrapText="1"/>
    </xf>
    <xf numFmtId="4" fontId="20" fillId="2" borderId="108" xfId="3" applyNumberFormat="1" applyFont="1" applyFill="1" applyBorder="1" applyAlignment="1">
      <alignment horizontal="center" vertical="center" wrapText="1"/>
    </xf>
    <xf numFmtId="164" fontId="17" fillId="2" borderId="113" xfId="3" applyNumberFormat="1" applyFont="1" applyFill="1" applyBorder="1" applyAlignment="1">
      <alignment horizontal="right" vertical="center" indent="1"/>
    </xf>
    <xf numFmtId="2" fontId="17" fillId="2" borderId="108" xfId="3" applyNumberFormat="1" applyFont="1" applyFill="1" applyBorder="1" applyAlignment="1">
      <alignment horizontal="center" vertical="center"/>
    </xf>
    <xf numFmtId="9" fontId="17" fillId="2" borderId="64" xfId="2" applyFont="1" applyFill="1" applyBorder="1" applyAlignment="1">
      <alignment horizontal="center" vertical="center"/>
    </xf>
    <xf numFmtId="2" fontId="17" fillId="2" borderId="108" xfId="3" applyNumberFormat="1" applyFont="1" applyFill="1" applyBorder="1" applyAlignment="1">
      <alignment horizontal="right" vertical="center" indent="2"/>
    </xf>
    <xf numFmtId="0" fontId="0" fillId="5" borderId="38" xfId="0" applyFill="1" applyBorder="1" applyAlignment="1">
      <alignment horizontal="right" indent="2"/>
    </xf>
    <xf numFmtId="0" fontId="0" fillId="5" borderId="48" xfId="0" applyFill="1" applyBorder="1" applyAlignment="1">
      <alignment horizontal="right" indent="2"/>
    </xf>
    <xf numFmtId="41" fontId="7" fillId="0" borderId="0" xfId="1" applyFont="1"/>
    <xf numFmtId="41" fontId="7" fillId="0" borderId="0" xfId="1" applyFont="1" applyAlignment="1">
      <alignment vertical="center" wrapText="1"/>
    </xf>
    <xf numFmtId="41" fontId="17" fillId="0" borderId="5" xfId="1" applyFont="1" applyBorder="1" applyAlignment="1">
      <alignment horizontal="center" vertical="center"/>
    </xf>
    <xf numFmtId="41" fontId="17" fillId="2" borderId="113" xfId="1" applyFont="1" applyFill="1" applyBorder="1" applyAlignment="1">
      <alignment horizontal="right" vertical="center" indent="1"/>
    </xf>
    <xf numFmtId="41" fontId="20" fillId="0" borderId="12" xfId="1" applyFont="1" applyBorder="1" applyAlignment="1">
      <alignment horizontal="right" vertical="center" indent="1"/>
    </xf>
    <xf numFmtId="41" fontId="17" fillId="0" borderId="16" xfId="1" applyFont="1" applyBorder="1" applyAlignment="1">
      <alignment horizontal="right" vertical="center" indent="1"/>
    </xf>
    <xf numFmtId="41" fontId="20" fillId="2" borderId="25" xfId="1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center" vertical="center"/>
    </xf>
    <xf numFmtId="41" fontId="17" fillId="0" borderId="101" xfId="1" applyFont="1" applyBorder="1" applyAlignment="1">
      <alignment horizontal="right" vertical="center" indent="1"/>
    </xf>
    <xf numFmtId="41" fontId="0" fillId="0" borderId="0" xfId="1" applyFont="1" applyAlignment="1">
      <alignment horizontal="right" indent="2"/>
    </xf>
    <xf numFmtId="41" fontId="0" fillId="0" borderId="0" xfId="1" applyFont="1" applyAlignment="1">
      <alignment vertical="center" wrapText="1"/>
    </xf>
    <xf numFmtId="0" fontId="53" fillId="8" borderId="114" xfId="0" applyFont="1" applyFill="1" applyBorder="1" applyAlignment="1">
      <alignment vertical="center"/>
    </xf>
    <xf numFmtId="0" fontId="53" fillId="8" borderId="115" xfId="0" applyFont="1" applyFill="1" applyBorder="1" applyAlignment="1">
      <alignment horizontal="left" vertical="center" indent="2"/>
    </xf>
    <xf numFmtId="0" fontId="53" fillId="8" borderId="115" xfId="0" applyFont="1" applyFill="1" applyBorder="1" applyAlignment="1">
      <alignment vertical="center"/>
    </xf>
    <xf numFmtId="2" fontId="53" fillId="8" borderId="115" xfId="0" applyNumberFormat="1" applyFont="1" applyFill="1" applyBorder="1" applyAlignment="1">
      <alignment vertical="center"/>
    </xf>
    <xf numFmtId="164" fontId="53" fillId="8" borderId="116" xfId="0" applyNumberFormat="1" applyFont="1" applyFill="1" applyBorder="1" applyAlignment="1">
      <alignment vertical="center"/>
    </xf>
    <xf numFmtId="164" fontId="53" fillId="8" borderId="115" xfId="0" applyNumberFormat="1" applyFont="1" applyFill="1" applyBorder="1" applyAlignment="1">
      <alignment horizontal="right" vertical="center" indent="1"/>
    </xf>
    <xf numFmtId="3" fontId="53" fillId="8" borderId="114" xfId="3" applyNumberFormat="1" applyFont="1" applyFill="1" applyBorder="1" applyAlignment="1">
      <alignment horizontal="center" vertical="center" wrapText="1"/>
    </xf>
    <xf numFmtId="164" fontId="53" fillId="8" borderId="117" xfId="0" applyNumberFormat="1" applyFont="1" applyFill="1" applyBorder="1" applyAlignment="1">
      <alignment horizontal="right" vertical="center" indent="1"/>
    </xf>
    <xf numFmtId="4" fontId="53" fillId="8" borderId="114" xfId="3" applyNumberFormat="1" applyFont="1" applyFill="1" applyBorder="1" applyAlignment="1">
      <alignment horizontal="center" vertical="center" wrapText="1"/>
    </xf>
    <xf numFmtId="2" fontId="53" fillId="8" borderId="114" xfId="3" applyNumberFormat="1" applyFont="1" applyFill="1" applyBorder="1" applyAlignment="1">
      <alignment horizontal="center" vertical="center"/>
    </xf>
    <xf numFmtId="9" fontId="53" fillId="8" borderId="114" xfId="2" applyFont="1" applyFill="1" applyBorder="1" applyAlignment="1">
      <alignment horizontal="center" vertical="center"/>
    </xf>
    <xf numFmtId="2" fontId="53" fillId="8" borderId="114" xfId="3" applyNumberFormat="1" applyFont="1" applyFill="1" applyBorder="1" applyAlignment="1">
      <alignment horizontal="right" vertical="center" indent="2"/>
    </xf>
    <xf numFmtId="41" fontId="53" fillId="8" borderId="117" xfId="1" applyFont="1" applyFill="1" applyBorder="1" applyAlignment="1">
      <alignment horizontal="right" vertical="center" indent="1"/>
    </xf>
    <xf numFmtId="0" fontId="9" fillId="8" borderId="114" xfId="0" applyFont="1" applyFill="1" applyBorder="1" applyAlignment="1">
      <alignment vertical="center"/>
    </xf>
    <xf numFmtId="0" fontId="9" fillId="8" borderId="115" xfId="0" applyFont="1" applyFill="1" applyBorder="1" applyAlignment="1">
      <alignment horizontal="left" vertical="center" indent="2"/>
    </xf>
    <xf numFmtId="0" fontId="9" fillId="8" borderId="115" xfId="0" applyFont="1" applyFill="1" applyBorder="1" applyAlignment="1">
      <alignment vertical="center"/>
    </xf>
    <xf numFmtId="2" fontId="9" fillId="8" borderId="115" xfId="0" applyNumberFormat="1" applyFont="1" applyFill="1" applyBorder="1" applyAlignment="1">
      <alignment vertical="center"/>
    </xf>
    <xf numFmtId="164" fontId="9" fillId="8" borderId="116" xfId="0" applyNumberFormat="1" applyFont="1" applyFill="1" applyBorder="1" applyAlignment="1">
      <alignment vertical="center"/>
    </xf>
    <xf numFmtId="164" fontId="9" fillId="8" borderId="115" xfId="0" applyNumberFormat="1" applyFont="1" applyFill="1" applyBorder="1" applyAlignment="1">
      <alignment horizontal="right" vertical="center" indent="1"/>
    </xf>
    <xf numFmtId="3" fontId="9" fillId="8" borderId="114" xfId="3" applyNumberFormat="1" applyFont="1" applyFill="1" applyBorder="1" applyAlignment="1">
      <alignment horizontal="center" vertical="center" wrapText="1"/>
    </xf>
    <xf numFmtId="164" fontId="9" fillId="8" borderId="117" xfId="0" applyNumberFormat="1" applyFont="1" applyFill="1" applyBorder="1" applyAlignment="1">
      <alignment horizontal="right" vertical="center" indent="1"/>
    </xf>
    <xf numFmtId="4" fontId="9" fillId="8" borderId="114" xfId="3" applyNumberFormat="1" applyFont="1" applyFill="1" applyBorder="1" applyAlignment="1">
      <alignment horizontal="center" vertical="center" wrapText="1"/>
    </xf>
    <xf numFmtId="2" fontId="9" fillId="8" borderId="114" xfId="3" applyNumberFormat="1" applyFont="1" applyFill="1" applyBorder="1" applyAlignment="1">
      <alignment horizontal="center" vertical="center"/>
    </xf>
    <xf numFmtId="9" fontId="9" fillId="8" borderId="114" xfId="2" applyFont="1" applyFill="1" applyBorder="1" applyAlignment="1">
      <alignment horizontal="center" vertical="center"/>
    </xf>
    <xf numFmtId="2" fontId="9" fillId="8" borderId="114" xfId="3" applyNumberFormat="1" applyFont="1" applyFill="1" applyBorder="1" applyAlignment="1">
      <alignment horizontal="right" vertical="center" indent="2"/>
    </xf>
    <xf numFmtId="41" fontId="9" fillId="8" borderId="117" xfId="1" applyFont="1" applyFill="1" applyBorder="1" applyAlignment="1">
      <alignment horizontal="right" vertical="center" indent="1"/>
    </xf>
    <xf numFmtId="0" fontId="20" fillId="5" borderId="38" xfId="3" applyFont="1" applyFill="1" applyBorder="1" applyAlignment="1">
      <alignment vertical="center" wrapText="1"/>
    </xf>
    <xf numFmtId="9" fontId="30" fillId="5" borderId="118" xfId="3" applyNumberFormat="1" applyFont="1" applyFill="1" applyBorder="1" applyAlignment="1">
      <alignment horizontal="left" vertical="center" wrapText="1"/>
    </xf>
    <xf numFmtId="0" fontId="20" fillId="5" borderId="118" xfId="3" applyFont="1" applyFill="1" applyBorder="1" applyAlignment="1">
      <alignment vertical="center" wrapText="1"/>
    </xf>
    <xf numFmtId="0" fontId="17" fillId="5" borderId="58" xfId="0" applyFont="1" applyFill="1" applyBorder="1" applyAlignment="1">
      <alignment vertical="center"/>
    </xf>
    <xf numFmtId="3" fontId="30" fillId="5" borderId="90" xfId="3" applyNumberFormat="1" applyFont="1" applyFill="1" applyBorder="1" applyAlignment="1">
      <alignment horizontal="right" vertical="center" wrapText="1" indent="1"/>
    </xf>
    <xf numFmtId="3" fontId="30" fillId="5" borderId="30" xfId="3" applyNumberFormat="1" applyFont="1" applyFill="1" applyBorder="1" applyAlignment="1">
      <alignment horizontal="right" vertical="center" wrapText="1" indent="1"/>
    </xf>
    <xf numFmtId="0" fontId="7" fillId="5" borderId="0" xfId="0" applyFont="1" applyFill="1" applyAlignment="1">
      <alignment horizontal="left" indent="1"/>
    </xf>
    <xf numFmtId="3" fontId="31" fillId="5" borderId="30" xfId="3" applyNumberFormat="1" applyFont="1" applyFill="1" applyBorder="1" applyAlignment="1">
      <alignment horizontal="right" vertical="center" wrapText="1" indent="1"/>
    </xf>
    <xf numFmtId="41" fontId="31" fillId="5" borderId="30" xfId="1" applyFont="1" applyFill="1" applyBorder="1" applyAlignment="1">
      <alignment horizontal="right" vertical="center" wrapText="1" indent="1"/>
    </xf>
    <xf numFmtId="0" fontId="26" fillId="5" borderId="61" xfId="0" applyFont="1" applyFill="1" applyBorder="1" applyAlignment="1">
      <alignment horizontal="right" vertical="center"/>
    </xf>
    <xf numFmtId="0" fontId="30" fillId="5" borderId="119" xfId="3" applyFont="1" applyFill="1" applyBorder="1" applyAlignment="1">
      <alignment horizontal="right" vertical="center" wrapText="1"/>
    </xf>
    <xf numFmtId="0" fontId="25" fillId="5" borderId="26" xfId="0" applyFont="1" applyFill="1" applyBorder="1" applyAlignment="1">
      <alignment vertical="center"/>
    </xf>
    <xf numFmtId="0" fontId="17" fillId="5" borderId="54" xfId="0" applyFont="1" applyFill="1" applyBorder="1" applyAlignment="1">
      <alignment vertical="center"/>
    </xf>
    <xf numFmtId="0" fontId="20" fillId="5" borderId="120" xfId="3" applyFont="1" applyFill="1" applyBorder="1" applyAlignment="1">
      <alignment vertical="center" wrapText="1"/>
    </xf>
    <xf numFmtId="0" fontId="26" fillId="5" borderId="54" xfId="0" applyFont="1" applyFill="1" applyBorder="1" applyAlignment="1">
      <alignment vertical="center"/>
    </xf>
    <xf numFmtId="3" fontId="26" fillId="5" borderId="25" xfId="3" applyNumberFormat="1" applyFont="1" applyFill="1" applyBorder="1" applyAlignment="1">
      <alignment horizontal="right" vertical="center" wrapText="1" indent="1"/>
    </xf>
    <xf numFmtId="3" fontId="20" fillId="5" borderId="26" xfId="3" applyNumberFormat="1" applyFont="1" applyFill="1" applyBorder="1" applyAlignment="1">
      <alignment horizontal="center" vertical="center" wrapText="1"/>
    </xf>
    <xf numFmtId="3" fontId="26" fillId="5" borderId="74" xfId="3" applyNumberFormat="1" applyFont="1" applyFill="1" applyBorder="1" applyAlignment="1">
      <alignment horizontal="right" vertical="center" wrapText="1" indent="1"/>
    </xf>
    <xf numFmtId="0" fontId="27" fillId="5" borderId="26" xfId="0" applyFont="1" applyFill="1" applyBorder="1" applyAlignment="1">
      <alignment vertical="center"/>
    </xf>
    <xf numFmtId="2" fontId="25" fillId="5" borderId="26" xfId="0" applyNumberFormat="1" applyFont="1" applyFill="1" applyBorder="1"/>
    <xf numFmtId="9" fontId="23" fillId="5" borderId="27" xfId="2" applyFont="1" applyFill="1" applyBorder="1" applyAlignment="1">
      <alignment horizontal="center" vertical="center"/>
    </xf>
    <xf numFmtId="2" fontId="25" fillId="5" borderId="26" xfId="0" applyNumberFormat="1" applyFont="1" applyFill="1" applyBorder="1" applyAlignment="1">
      <alignment horizontal="right" indent="2"/>
    </xf>
    <xf numFmtId="41" fontId="26" fillId="5" borderId="74" xfId="1" applyFont="1" applyFill="1" applyBorder="1" applyAlignment="1">
      <alignment horizontal="right" vertical="center" wrapText="1" indent="1"/>
    </xf>
    <xf numFmtId="0" fontId="20" fillId="5" borderId="121" xfId="3" applyFont="1" applyFill="1" applyBorder="1" applyAlignment="1">
      <alignment vertical="center" wrapText="1"/>
    </xf>
    <xf numFmtId="3" fontId="32" fillId="2" borderId="19" xfId="3" applyNumberFormat="1" applyFont="1" applyFill="1" applyBorder="1" applyAlignment="1">
      <alignment horizontal="right" vertical="center" wrapText="1" indent="1"/>
    </xf>
    <xf numFmtId="0" fontId="30" fillId="5" borderId="123" xfId="3" applyFont="1" applyFill="1" applyBorder="1" applyAlignment="1">
      <alignment horizontal="right" vertical="center" wrapText="1"/>
    </xf>
    <xf numFmtId="9" fontId="30" fillId="5" borderId="123" xfId="3" applyNumberFormat="1" applyFont="1" applyFill="1" applyBorder="1" applyAlignment="1">
      <alignment horizontal="left" vertical="center" wrapText="1"/>
    </xf>
    <xf numFmtId="0" fontId="20" fillId="5" borderId="123" xfId="3" applyFont="1" applyFill="1" applyBorder="1" applyAlignment="1">
      <alignment vertical="center" wrapText="1"/>
    </xf>
    <xf numFmtId="0" fontId="20" fillId="5" borderId="124" xfId="3" applyFont="1" applyFill="1" applyBorder="1" applyAlignment="1">
      <alignment vertical="center" wrapText="1"/>
    </xf>
    <xf numFmtId="3" fontId="30" fillId="5" borderId="125" xfId="3" applyNumberFormat="1" applyFont="1" applyFill="1" applyBorder="1" applyAlignment="1">
      <alignment horizontal="right" vertical="center" wrapText="1" indent="1"/>
    </xf>
    <xf numFmtId="3" fontId="32" fillId="2" borderId="41" xfId="3" applyNumberFormat="1" applyFont="1" applyFill="1" applyBorder="1" applyAlignment="1">
      <alignment horizontal="right" vertical="center" wrapText="1" indent="1"/>
    </xf>
    <xf numFmtId="3" fontId="20" fillId="5" borderId="121" xfId="3" applyNumberFormat="1" applyFont="1" applyFill="1" applyBorder="1" applyAlignment="1">
      <alignment vertical="center" wrapText="1"/>
    </xf>
    <xf numFmtId="3" fontId="32" fillId="2" borderId="63" xfId="3" applyNumberFormat="1" applyFont="1" applyFill="1" applyBorder="1" applyAlignment="1">
      <alignment horizontal="right" vertical="center" wrapText="1" indent="1"/>
    </xf>
    <xf numFmtId="3" fontId="30" fillId="5" borderId="122" xfId="3" applyNumberFormat="1" applyFont="1" applyFill="1" applyBorder="1" applyAlignment="1">
      <alignment horizontal="right" vertical="center" wrapText="1" indent="1"/>
    </xf>
    <xf numFmtId="0" fontId="7" fillId="5" borderId="48" xfId="0" applyFont="1" applyFill="1" applyBorder="1" applyAlignment="1">
      <alignment horizontal="left" indent="1"/>
    </xf>
    <xf numFmtId="3" fontId="32" fillId="2" borderId="42" xfId="3" applyNumberFormat="1" applyFont="1" applyFill="1" applyBorder="1" applyAlignment="1">
      <alignment horizontal="right" vertical="center" wrapText="1" indent="1"/>
    </xf>
    <xf numFmtId="3" fontId="30" fillId="5" borderId="87" xfId="3" applyNumberFormat="1" applyFont="1" applyFill="1" applyBorder="1" applyAlignment="1">
      <alignment horizontal="right" vertical="center" wrapText="1" indent="1"/>
    </xf>
    <xf numFmtId="3" fontId="32" fillId="2" borderId="44" xfId="3" applyNumberFormat="1" applyFont="1" applyFill="1" applyBorder="1" applyAlignment="1">
      <alignment horizontal="right" vertical="center" wrapText="1" indent="1"/>
    </xf>
    <xf numFmtId="0" fontId="0" fillId="5" borderId="121" xfId="0" applyFill="1" applyBorder="1"/>
    <xf numFmtId="3" fontId="32" fillId="2" borderId="83" xfId="3" applyNumberFormat="1" applyFont="1" applyFill="1" applyBorder="1" applyAlignment="1">
      <alignment horizontal="right" vertical="center" wrapText="1" indent="1"/>
    </xf>
    <xf numFmtId="3" fontId="31" fillId="5" borderId="122" xfId="3" applyNumberFormat="1" applyFont="1" applyFill="1" applyBorder="1" applyAlignment="1">
      <alignment horizontal="right" vertical="center" wrapText="1" indent="1"/>
    </xf>
    <xf numFmtId="3" fontId="32" fillId="2" borderId="53" xfId="3" applyNumberFormat="1" applyFont="1" applyFill="1" applyBorder="1" applyAlignment="1">
      <alignment horizontal="right" vertical="center" wrapText="1" indent="1"/>
    </xf>
    <xf numFmtId="3" fontId="32" fillId="2" borderId="55" xfId="3" applyNumberFormat="1" applyFont="1" applyFill="1" applyBorder="1" applyAlignment="1">
      <alignment horizontal="right" vertical="center" wrapText="1" indent="1"/>
    </xf>
    <xf numFmtId="41" fontId="32" fillId="2" borderId="63" xfId="1" applyFont="1" applyFill="1" applyBorder="1" applyAlignment="1">
      <alignment horizontal="right" vertical="center" wrapText="1" indent="1"/>
    </xf>
    <xf numFmtId="41" fontId="31" fillId="5" borderId="122" xfId="1" applyFont="1" applyFill="1" applyBorder="1" applyAlignment="1">
      <alignment horizontal="right" vertical="center" wrapText="1" indent="1"/>
    </xf>
    <xf numFmtId="0" fontId="23" fillId="0" borderId="23" xfId="0" applyFont="1" applyBorder="1" applyAlignment="1">
      <alignment horizontal="left" indent="1"/>
    </xf>
    <xf numFmtId="0" fontId="23" fillId="0" borderId="54" xfId="0" applyFont="1" applyBorder="1"/>
    <xf numFmtId="3" fontId="23" fillId="3" borderId="24" xfId="3" applyNumberFormat="1" applyFont="1" applyFill="1" applyBorder="1" applyAlignment="1">
      <alignment horizontal="right" wrapText="1" indent="1"/>
    </xf>
    <xf numFmtId="3" fontId="17" fillId="6" borderId="18" xfId="3" applyNumberFormat="1" applyFont="1" applyFill="1" applyBorder="1" applyAlignment="1">
      <alignment horizontal="right" wrapText="1" indent="1"/>
    </xf>
    <xf numFmtId="4" fontId="20" fillId="4" borderId="126" xfId="3" applyNumberFormat="1" applyFont="1" applyFill="1" applyBorder="1" applyAlignment="1">
      <alignment horizontal="center" vertical="center" wrapText="1"/>
    </xf>
    <xf numFmtId="4" fontId="20" fillId="0" borderId="127" xfId="3" applyNumberFormat="1" applyFont="1" applyBorder="1" applyAlignment="1">
      <alignment horizontal="center" vertical="center" wrapText="1"/>
    </xf>
    <xf numFmtId="4" fontId="20" fillId="4" borderId="33" xfId="3" applyNumberFormat="1" applyFont="1" applyFill="1" applyBorder="1" applyAlignment="1">
      <alignment horizontal="center" vertical="center" wrapText="1"/>
    </xf>
    <xf numFmtId="4" fontId="20" fillId="0" borderId="95" xfId="3" applyNumberFormat="1" applyFont="1" applyBorder="1" applyAlignment="1">
      <alignment horizontal="center" vertical="center" wrapText="1"/>
    </xf>
    <xf numFmtId="166" fontId="20" fillId="0" borderId="128" xfId="4" applyNumberFormat="1" applyFont="1" applyBorder="1" applyAlignment="1">
      <alignment horizontal="right" vertical="center" wrapText="1" indent="1"/>
    </xf>
    <xf numFmtId="49" fontId="0" fillId="0" borderId="40" xfId="0" applyNumberFormat="1" applyBorder="1" applyAlignment="1">
      <alignment horizontal="right" vertical="center"/>
    </xf>
    <xf numFmtId="0" fontId="20" fillId="0" borderId="105" xfId="3" applyFont="1" applyBorder="1" applyAlignment="1">
      <alignment horizontal="left" vertical="center" wrapText="1"/>
    </xf>
    <xf numFmtId="2" fontId="0" fillId="0" borderId="104" xfId="0" applyNumberFormat="1" applyBorder="1" applyAlignment="1">
      <alignment horizontal="right" vertical="center" indent="1"/>
    </xf>
    <xf numFmtId="0" fontId="0" fillId="0" borderId="88" xfId="0" applyBorder="1" applyAlignment="1">
      <alignment horizontal="center" vertical="center"/>
    </xf>
    <xf numFmtId="0" fontId="18" fillId="2" borderId="68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left" vertical="center" indent="2"/>
    </xf>
    <xf numFmtId="0" fontId="19" fillId="2" borderId="53" xfId="0" applyFont="1" applyFill="1" applyBorder="1" applyAlignment="1">
      <alignment vertical="center"/>
    </xf>
    <xf numFmtId="3" fontId="20" fillId="2" borderId="65" xfId="3" applyNumberFormat="1" applyFont="1" applyFill="1" applyBorder="1" applyAlignment="1">
      <alignment horizontal="center" vertical="center" wrapText="1"/>
    </xf>
    <xf numFmtId="2" fontId="17" fillId="2" borderId="45" xfId="3" applyNumberFormat="1" applyFont="1" applyFill="1" applyBorder="1" applyAlignment="1">
      <alignment horizontal="center" vertical="center"/>
    </xf>
    <xf numFmtId="9" fontId="17" fillId="0" borderId="64" xfId="2" applyFont="1" applyBorder="1" applyAlignment="1">
      <alignment horizontal="center" vertical="center"/>
    </xf>
    <xf numFmtId="2" fontId="20" fillId="0" borderId="64" xfId="3" applyNumberFormat="1" applyFont="1" applyBorder="1" applyAlignment="1">
      <alignment horizontal="right" vertical="center" indent="2"/>
    </xf>
    <xf numFmtId="49" fontId="20" fillId="0" borderId="121" xfId="3" quotePrefix="1" applyNumberFormat="1" applyFont="1" applyBorder="1" applyAlignment="1">
      <alignment horizontal="right" vertical="center" wrapText="1"/>
    </xf>
    <xf numFmtId="0" fontId="20" fillId="0" borderId="131" xfId="3" applyFont="1" applyBorder="1" applyAlignment="1">
      <alignment horizontal="left" vertical="center" wrapText="1"/>
    </xf>
    <xf numFmtId="0" fontId="20" fillId="7" borderId="131" xfId="3" applyFont="1" applyFill="1" applyBorder="1" applyAlignment="1">
      <alignment horizontal="center" wrapText="1"/>
    </xf>
    <xf numFmtId="166" fontId="20" fillId="7" borderId="132" xfId="4" applyNumberFormat="1" applyFont="1" applyFill="1" applyBorder="1" applyAlignment="1">
      <alignment horizontal="right" wrapText="1" indent="1"/>
    </xf>
    <xf numFmtId="4" fontId="20" fillId="0" borderId="121" xfId="3" applyNumberFormat="1" applyFont="1" applyBorder="1" applyAlignment="1">
      <alignment horizontal="center" vertical="center" wrapText="1"/>
    </xf>
    <xf numFmtId="4" fontId="20" fillId="4" borderId="133" xfId="3" applyNumberFormat="1" applyFont="1" applyFill="1" applyBorder="1" applyAlignment="1">
      <alignment horizontal="center" vertical="center" wrapText="1"/>
    </xf>
    <xf numFmtId="2" fontId="17" fillId="0" borderId="125" xfId="3" applyNumberFormat="1" applyFont="1" applyBorder="1" applyAlignment="1">
      <alignment horizontal="center" vertical="center"/>
    </xf>
    <xf numFmtId="9" fontId="17" fillId="0" borderId="130" xfId="2" applyFont="1" applyBorder="1" applyAlignment="1">
      <alignment horizontal="center" vertical="center"/>
    </xf>
    <xf numFmtId="2" fontId="20" fillId="0" borderId="122" xfId="3" applyNumberFormat="1" applyFont="1" applyBorder="1" applyAlignment="1">
      <alignment horizontal="right" vertical="center" indent="2"/>
    </xf>
    <xf numFmtId="166" fontId="20" fillId="0" borderId="72" xfId="4" applyNumberFormat="1" applyFont="1" applyFill="1" applyBorder="1" applyAlignment="1">
      <alignment horizontal="right" vertical="center" wrapText="1" indent="1"/>
    </xf>
    <xf numFmtId="166" fontId="20" fillId="0" borderId="129" xfId="4" applyNumberFormat="1" applyFont="1" applyFill="1" applyBorder="1" applyAlignment="1">
      <alignment horizontal="right" vertical="center" wrapText="1" indent="1"/>
    </xf>
    <xf numFmtId="49" fontId="20" fillId="0" borderId="134" xfId="3" quotePrefix="1" applyNumberFormat="1" applyFont="1" applyBorder="1" applyAlignment="1">
      <alignment horizontal="right" vertical="center" wrapText="1"/>
    </xf>
    <xf numFmtId="0" fontId="20" fillId="0" borderId="88" xfId="3" applyFont="1" applyBorder="1" applyAlignment="1">
      <alignment horizontal="center" vertical="center" wrapText="1"/>
    </xf>
    <xf numFmtId="166" fontId="20" fillId="0" borderId="105" xfId="4" applyNumberFormat="1" applyFont="1" applyBorder="1" applyAlignment="1">
      <alignment horizontal="right" vertical="center" wrapText="1" indent="1"/>
    </xf>
    <xf numFmtId="2" fontId="17" fillId="0" borderId="4" xfId="3" applyNumberFormat="1" applyFont="1" applyBorder="1" applyAlignment="1">
      <alignment horizontal="center" vertical="center"/>
    </xf>
    <xf numFmtId="2" fontId="20" fillId="0" borderId="14" xfId="3" applyNumberFormat="1" applyFont="1" applyBorder="1" applyAlignment="1">
      <alignment horizontal="right" vertical="center" indent="2"/>
    </xf>
    <xf numFmtId="166" fontId="20" fillId="0" borderId="106" xfId="4" applyNumberFormat="1" applyFont="1" applyFill="1" applyBorder="1" applyAlignment="1">
      <alignment horizontal="right" vertical="center" wrapText="1" indent="1"/>
    </xf>
    <xf numFmtId="2" fontId="20" fillId="0" borderId="21" xfId="3" applyNumberFormat="1" applyFont="1" applyBorder="1" applyAlignment="1">
      <alignment horizontal="right" vertical="center" indent="2"/>
    </xf>
    <xf numFmtId="49" fontId="20" fillId="0" borderId="135" xfId="3" quotePrefix="1" applyNumberFormat="1" applyFont="1" applyBorder="1" applyAlignment="1">
      <alignment horizontal="right" vertical="center" wrapText="1"/>
    </xf>
    <xf numFmtId="0" fontId="20" fillId="0" borderId="131" xfId="3" applyFont="1" applyBorder="1" applyAlignment="1">
      <alignment horizontal="center" vertical="center" wrapText="1"/>
    </xf>
    <xf numFmtId="166" fontId="20" fillId="0" borderId="132" xfId="4" applyNumberFormat="1" applyFont="1" applyFill="1" applyBorder="1" applyAlignment="1">
      <alignment horizontal="right" vertical="center" wrapText="1" indent="1"/>
    </xf>
    <xf numFmtId="4" fontId="20" fillId="0" borderId="108" xfId="3" applyNumberFormat="1" applyFont="1" applyBorder="1" applyAlignment="1">
      <alignment horizontal="center" vertical="center" wrapText="1"/>
    </xf>
    <xf numFmtId="4" fontId="20" fillId="4" borderId="60" xfId="3" applyNumberFormat="1" applyFont="1" applyFill="1" applyBorder="1" applyAlignment="1">
      <alignment horizontal="center" vertical="center" wrapText="1"/>
    </xf>
    <xf numFmtId="2" fontId="17" fillId="0" borderId="60" xfId="3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3" fontId="34" fillId="0" borderId="0" xfId="0" applyNumberFormat="1" applyFont="1" applyAlignment="1">
      <alignment horizontal="right" indent="1"/>
    </xf>
    <xf numFmtId="3" fontId="35" fillId="0" borderId="0" xfId="9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/>
    <xf numFmtId="3" fontId="54" fillId="0" borderId="0" xfId="3" applyNumberFormat="1" applyFont="1" applyAlignment="1">
      <alignment vertical="center" wrapText="1"/>
    </xf>
    <xf numFmtId="3" fontId="55" fillId="0" borderId="0" xfId="3" applyNumberFormat="1" applyFont="1" applyAlignment="1">
      <alignment vertical="center" wrapText="1"/>
    </xf>
    <xf numFmtId="3" fontId="54" fillId="0" borderId="0" xfId="3" applyNumberFormat="1" applyFont="1" applyAlignment="1">
      <alignment horizontal="right" vertical="center" wrapText="1" indent="2"/>
    </xf>
    <xf numFmtId="3" fontId="36" fillId="0" borderId="0" xfId="3" applyNumberFormat="1" applyFont="1" applyAlignment="1">
      <alignment vertical="center" wrapText="1"/>
    </xf>
    <xf numFmtId="0" fontId="11" fillId="0" borderId="0" xfId="0" applyFont="1" applyAlignment="1">
      <alignment horizontal="center"/>
    </xf>
    <xf numFmtId="3" fontId="16" fillId="0" borderId="0" xfId="3" applyNumberFormat="1" applyFont="1" applyAlignment="1">
      <alignment horizontal="center" vertical="center" wrapText="1"/>
    </xf>
    <xf numFmtId="3" fontId="16" fillId="0" borderId="0" xfId="3" applyNumberFormat="1" applyFont="1" applyAlignment="1">
      <alignment horizontal="center" vertical="center"/>
    </xf>
    <xf numFmtId="3" fontId="31" fillId="0" borderId="0" xfId="3" applyNumberFormat="1" applyFont="1" applyAlignment="1">
      <alignment horizontal="center" vertical="center"/>
    </xf>
    <xf numFmtId="49" fontId="20" fillId="0" borderId="84" xfId="3" quotePrefix="1" applyNumberFormat="1" applyFont="1" applyBorder="1" applyAlignment="1">
      <alignment horizontal="right" vertical="center" wrapText="1"/>
    </xf>
    <xf numFmtId="166" fontId="20" fillId="0" borderId="77" xfId="4" applyNumberFormat="1" applyFont="1" applyFill="1" applyBorder="1" applyAlignment="1">
      <alignment horizontal="right" vertical="center" wrapText="1" indent="1"/>
    </xf>
    <xf numFmtId="3" fontId="17" fillId="0" borderId="6" xfId="3" applyNumberFormat="1" applyFont="1" applyBorder="1" applyAlignment="1">
      <alignment horizontal="center" vertical="center" wrapText="1"/>
    </xf>
    <xf numFmtId="0" fontId="17" fillId="0" borderId="16" xfId="3" applyFont="1" applyBorder="1" applyAlignment="1">
      <alignment horizontal="center" vertical="center"/>
    </xf>
    <xf numFmtId="0" fontId="17" fillId="0" borderId="8" xfId="3" applyFont="1" applyBorder="1" applyAlignment="1">
      <alignment horizontal="center" vertical="center"/>
    </xf>
    <xf numFmtId="0" fontId="49" fillId="0" borderId="0" xfId="0" applyFont="1" applyAlignment="1">
      <alignment vertical="center" wrapText="1"/>
    </xf>
    <xf numFmtId="0" fontId="23" fillId="0" borderId="66" xfId="0" applyFont="1" applyBorder="1" applyAlignment="1">
      <alignment horizontal="left" indent="1"/>
    </xf>
    <xf numFmtId="3" fontId="23" fillId="3" borderId="56" xfId="3" applyNumberFormat="1" applyFont="1" applyFill="1" applyBorder="1" applyAlignment="1">
      <alignment horizontal="right" vertical="center" wrapText="1" inden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3" fontId="17" fillId="0" borderId="14" xfId="3" applyNumberFormat="1" applyFont="1" applyBorder="1" applyAlignment="1">
      <alignment horizontal="center" vertical="center" wrapText="1"/>
    </xf>
    <xf numFmtId="3" fontId="17" fillId="0" borderId="21" xfId="3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53" fillId="9" borderId="6" xfId="0" applyFont="1" applyFill="1" applyBorder="1" applyAlignment="1">
      <alignment horizontal="center" vertical="center" wrapText="1"/>
    </xf>
    <xf numFmtId="0" fontId="53" fillId="9" borderId="7" xfId="0" applyFont="1" applyFill="1" applyBorder="1" applyAlignment="1">
      <alignment horizontal="center" vertical="center" wrapText="1"/>
    </xf>
    <xf numFmtId="0" fontId="53" fillId="9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20" fontId="4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0" fontId="41" fillId="0" borderId="0" xfId="0" applyNumberFormat="1" applyFont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3" fontId="17" fillId="0" borderId="2" xfId="3" applyNumberFormat="1" applyFont="1" applyBorder="1" applyAlignment="1">
      <alignment horizontal="center" vertical="center" wrapText="1"/>
    </xf>
    <xf numFmtId="3" fontId="17" fillId="0" borderId="4" xfId="3" applyNumberFormat="1" applyFont="1" applyBorder="1" applyAlignment="1">
      <alignment horizontal="center" vertical="center" wrapText="1"/>
    </xf>
    <xf numFmtId="3" fontId="17" fillId="0" borderId="5" xfId="3" applyNumberFormat="1" applyFont="1" applyBorder="1" applyAlignment="1">
      <alignment horizontal="center" vertical="center" wrapText="1"/>
    </xf>
    <xf numFmtId="3" fontId="17" fillId="0" borderId="13" xfId="3" applyNumberFormat="1" applyFont="1" applyBorder="1" applyAlignment="1">
      <alignment horizontal="center" vertical="center" wrapText="1"/>
    </xf>
    <xf numFmtId="3" fontId="17" fillId="0" borderId="32" xfId="3" applyNumberFormat="1" applyFont="1" applyBorder="1" applyAlignment="1">
      <alignment horizontal="center" vertical="center" wrapText="1"/>
    </xf>
    <xf numFmtId="3" fontId="17" fillId="0" borderId="15" xfId="3" applyNumberFormat="1" applyFont="1" applyBorder="1" applyAlignment="1">
      <alignment horizontal="center" vertical="center" wrapText="1"/>
    </xf>
    <xf numFmtId="3" fontId="17" fillId="0" borderId="16" xfId="3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20" fontId="5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20" fontId="52" fillId="0" borderId="0" xfId="0" applyNumberFormat="1" applyFont="1" applyAlignment="1">
      <alignment horizontal="center" vertical="center"/>
    </xf>
    <xf numFmtId="0" fontId="53" fillId="9" borderId="26" xfId="0" applyFont="1" applyFill="1" applyBorder="1" applyAlignment="1">
      <alignment horizontal="center" vertical="center" wrapText="1"/>
    </xf>
    <xf numFmtId="0" fontId="53" fillId="9" borderId="54" xfId="0" applyFont="1" applyFill="1" applyBorder="1" applyAlignment="1">
      <alignment horizontal="center" vertical="center" wrapText="1"/>
    </xf>
    <xf numFmtId="0" fontId="53" fillId="9" borderId="74" xfId="0" applyFont="1" applyFill="1" applyBorder="1" applyAlignment="1">
      <alignment horizontal="center" vertical="center" wrapText="1"/>
    </xf>
    <xf numFmtId="41" fontId="10" fillId="0" borderId="51" xfId="1" applyFont="1" applyBorder="1" applyAlignment="1">
      <alignment horizontal="center"/>
    </xf>
    <xf numFmtId="0" fontId="9" fillId="0" borderId="6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32" fillId="2" borderId="17" xfId="3" applyFont="1" applyFill="1" applyBorder="1" applyAlignment="1">
      <alignment horizontal="center" vertical="center" wrapText="1"/>
    </xf>
    <xf numFmtId="0" fontId="32" fillId="2" borderId="18" xfId="3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/>
    </xf>
    <xf numFmtId="0" fontId="33" fillId="2" borderId="6" xfId="3" applyFont="1" applyFill="1" applyBorder="1" applyAlignment="1">
      <alignment horizontal="center" vertical="center" wrapText="1"/>
    </xf>
    <xf numFmtId="0" fontId="33" fillId="2" borderId="52" xfId="3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39" xfId="0" applyBorder="1" applyAlignment="1">
      <alignment horizontal="left" vertical="top" wrapText="1"/>
    </xf>
  </cellXfs>
  <cellStyles count="10">
    <cellStyle name="Milliers [0]" xfId="1" builtinId="6"/>
    <cellStyle name="Milliers [0] 2" xfId="6" xr:uid="{D0B1260A-BE6B-49D5-9BF4-31FD8FBE4A19}"/>
    <cellStyle name="Milliers 2" xfId="4" xr:uid="{00000000-0005-0000-0000-000002000000}"/>
    <cellStyle name="Milliers 2 2" xfId="8" xr:uid="{358678F0-2E09-48E0-BB35-50BB677A46C7}"/>
    <cellStyle name="Milliers 3" xfId="5" xr:uid="{B3E2A6C9-6B09-4AB6-BFC1-419D0A9A0A9A}"/>
    <cellStyle name="Normal" xfId="0" builtinId="0"/>
    <cellStyle name="Normal 2" xfId="3" xr:uid="{00000000-0005-0000-0000-000004000000}"/>
    <cellStyle name="Normal 2 2" xfId="7" xr:uid="{29FD7DA2-1AFD-419E-9B66-6F80672DB825}"/>
    <cellStyle name="Pourcentage" xfId="2" builtinId="5"/>
    <cellStyle name="Pourcentage 2" xfId="9" xr:uid="{7F319F94-0528-48FD-816A-4B14B455F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"/>
  <sheetViews>
    <sheetView view="pageBreakPreview" topLeftCell="A148" zoomScale="80" zoomScaleNormal="80" zoomScaleSheetLayoutView="80" zoomScalePageLayoutView="90" workbookViewId="0">
      <selection activeCell="F6" sqref="F6"/>
    </sheetView>
  </sheetViews>
  <sheetFormatPr baseColWidth="10" defaultColWidth="11.5703125" defaultRowHeight="16.5" x14ac:dyDescent="0.3"/>
  <cols>
    <col min="1" max="1" width="1.7109375" customWidth="1"/>
    <col min="2" max="2" width="7.28515625" customWidth="1"/>
    <col min="3" max="3" width="66.5703125" customWidth="1"/>
    <col min="4" max="4" width="7.5703125" bestFit="1" customWidth="1"/>
    <col min="5" max="5" width="14" customWidth="1"/>
    <col min="6" max="6" width="13.42578125" style="3" bestFit="1" customWidth="1"/>
    <col min="7" max="7" width="14.5703125" style="3" bestFit="1" customWidth="1"/>
    <col min="8" max="8" width="24.140625" style="3" customWidth="1"/>
    <col min="9" max="9" width="10.140625" style="3" customWidth="1"/>
    <col min="10" max="10" width="20.42578125" style="7" bestFit="1" customWidth="1"/>
  </cols>
  <sheetData>
    <row r="1" spans="1:15" ht="18.75" customHeight="1" x14ac:dyDescent="0.3">
      <c r="B1" s="1"/>
      <c r="C1" s="6" t="s">
        <v>206</v>
      </c>
      <c r="D1" s="1"/>
      <c r="G1" s="515"/>
      <c r="H1" s="515"/>
      <c r="I1" s="515"/>
      <c r="J1" s="515"/>
      <c r="K1" s="6"/>
      <c r="L1" s="6"/>
    </row>
    <row r="2" spans="1:15" ht="26.25" customHeight="1" x14ac:dyDescent="0.35">
      <c r="A2" s="516" t="s">
        <v>59</v>
      </c>
      <c r="B2" s="516"/>
      <c r="C2" s="516"/>
      <c r="D2" s="516"/>
      <c r="E2" s="516"/>
      <c r="F2" s="516"/>
      <c r="G2" s="516"/>
      <c r="H2" s="516"/>
      <c r="I2" s="516"/>
      <c r="J2" s="516"/>
      <c r="K2" s="86"/>
      <c r="L2" s="86"/>
      <c r="M2" s="86"/>
      <c r="N2" s="86"/>
      <c r="O2" s="86"/>
    </row>
    <row r="3" spans="1:15" ht="38.25" customHeight="1" x14ac:dyDescent="0.25">
      <c r="A3" s="521" t="s">
        <v>212</v>
      </c>
      <c r="B3" s="521"/>
      <c r="C3" s="521"/>
      <c r="D3" s="521"/>
      <c r="E3" s="521"/>
      <c r="F3" s="521"/>
      <c r="G3" s="521"/>
      <c r="H3" s="521"/>
      <c r="I3" s="521"/>
      <c r="J3" s="521"/>
      <c r="K3" s="89"/>
      <c r="L3" s="89"/>
      <c r="M3" s="89"/>
      <c r="N3" s="89"/>
      <c r="O3" s="87"/>
    </row>
    <row r="4" spans="1:15" ht="24" customHeight="1" x14ac:dyDescent="0.25">
      <c r="A4" s="523"/>
      <c r="B4" s="523"/>
      <c r="C4" s="523"/>
      <c r="D4" s="523"/>
      <c r="E4" s="523"/>
      <c r="F4" s="523"/>
      <c r="G4" s="523"/>
      <c r="H4" s="523"/>
      <c r="I4" s="523"/>
      <c r="J4" s="523"/>
      <c r="K4" s="90"/>
      <c r="L4" s="90"/>
      <c r="M4" s="90"/>
      <c r="N4" s="90"/>
      <c r="O4" s="8"/>
    </row>
    <row r="5" spans="1:15" ht="29.25" customHeight="1" x14ac:dyDescent="0.25">
      <c r="A5" s="522" t="s">
        <v>205</v>
      </c>
      <c r="B5" s="522"/>
      <c r="C5" s="522"/>
      <c r="D5" s="522"/>
      <c r="E5" s="522"/>
      <c r="F5" s="522"/>
      <c r="G5" s="522"/>
      <c r="H5" s="522"/>
      <c r="I5" s="522"/>
      <c r="J5" s="522"/>
      <c r="K5" s="67"/>
    </row>
    <row r="6" spans="1:15" ht="19.5" customHeight="1" x14ac:dyDescent="0.25">
      <c r="B6" s="9" t="s">
        <v>215</v>
      </c>
      <c r="C6" s="9"/>
      <c r="D6" s="10"/>
      <c r="E6" s="10"/>
      <c r="F6" s="10"/>
      <c r="G6" s="10"/>
      <c r="H6" s="10"/>
      <c r="I6" s="10"/>
      <c r="J6" s="10"/>
    </row>
    <row r="7" spans="1:15" ht="19.5" customHeight="1" thickBot="1" x14ac:dyDescent="0.3">
      <c r="B7" s="120" t="s">
        <v>216</v>
      </c>
      <c r="C7" s="120"/>
      <c r="D7" s="121"/>
      <c r="E7" s="121"/>
      <c r="F7" s="122"/>
      <c r="G7" s="122"/>
      <c r="H7" s="122"/>
      <c r="I7" s="122"/>
      <c r="J7" s="123"/>
    </row>
    <row r="8" spans="1:15" ht="21.75" customHeight="1" thickBot="1" x14ac:dyDescent="0.3">
      <c r="B8" s="501" t="s">
        <v>16</v>
      </c>
      <c r="C8" s="504" t="s">
        <v>0</v>
      </c>
      <c r="D8" s="504" t="s">
        <v>1</v>
      </c>
      <c r="E8" s="507" t="s">
        <v>2</v>
      </c>
      <c r="F8" s="510" t="s">
        <v>5</v>
      </c>
      <c r="G8" s="511"/>
      <c r="H8" s="511"/>
      <c r="I8" s="511"/>
      <c r="J8" s="512"/>
    </row>
    <row r="9" spans="1:15" ht="33" customHeight="1" thickBot="1" x14ac:dyDescent="0.3">
      <c r="B9" s="502"/>
      <c r="C9" s="505"/>
      <c r="D9" s="505"/>
      <c r="E9" s="508"/>
      <c r="F9" s="286" t="s">
        <v>6</v>
      </c>
      <c r="G9" s="290" t="s">
        <v>7</v>
      </c>
      <c r="H9" s="309" t="s">
        <v>49</v>
      </c>
      <c r="I9" s="513" t="s">
        <v>9</v>
      </c>
      <c r="J9" s="83" t="s">
        <v>50</v>
      </c>
    </row>
    <row r="10" spans="1:15" ht="20.25" customHeight="1" thickBot="1" x14ac:dyDescent="0.3">
      <c r="B10" s="503"/>
      <c r="C10" s="506"/>
      <c r="D10" s="506"/>
      <c r="E10" s="509"/>
      <c r="F10" s="286" t="s">
        <v>11</v>
      </c>
      <c r="G10" s="290" t="s">
        <v>11</v>
      </c>
      <c r="H10" s="310" t="s">
        <v>11</v>
      </c>
      <c r="I10" s="514"/>
      <c r="J10" s="291" t="s">
        <v>13</v>
      </c>
    </row>
    <row r="11" spans="1:15" ht="20.25" customHeight="1" thickBot="1" x14ac:dyDescent="0.3">
      <c r="B11" s="517" t="s">
        <v>137</v>
      </c>
      <c r="C11" s="518"/>
      <c r="D11" s="518"/>
      <c r="E11" s="518"/>
      <c r="F11" s="518"/>
      <c r="G11" s="518"/>
      <c r="H11" s="518"/>
      <c r="I11" s="518"/>
      <c r="J11" s="519"/>
    </row>
    <row r="12" spans="1:15" ht="22.9" customHeight="1" thickBot="1" x14ac:dyDescent="0.3">
      <c r="B12" s="292" t="s">
        <v>106</v>
      </c>
      <c r="C12" s="169" t="s">
        <v>15</v>
      </c>
      <c r="D12" s="170"/>
      <c r="E12" s="293"/>
      <c r="F12" s="294"/>
      <c r="G12" s="296"/>
      <c r="H12" s="311"/>
      <c r="I12" s="172"/>
      <c r="J12" s="295"/>
    </row>
    <row r="13" spans="1:15" ht="14.25" thickBot="1" x14ac:dyDescent="0.3">
      <c r="B13" s="144" t="s">
        <v>16</v>
      </c>
      <c r="C13" s="136" t="s">
        <v>0</v>
      </c>
      <c r="D13" s="136" t="s">
        <v>1</v>
      </c>
      <c r="E13" s="261" t="s">
        <v>2</v>
      </c>
      <c r="F13" s="148"/>
      <c r="G13" s="297"/>
      <c r="H13" s="312"/>
      <c r="I13" s="137"/>
      <c r="J13" s="138"/>
    </row>
    <row r="14" spans="1:15" ht="13.5" x14ac:dyDescent="0.25">
      <c r="B14" s="158" t="s">
        <v>17</v>
      </c>
      <c r="C14" s="134" t="s">
        <v>60</v>
      </c>
      <c r="D14" s="135" t="s">
        <v>61</v>
      </c>
      <c r="E14" s="249">
        <v>1</v>
      </c>
      <c r="F14" s="238"/>
      <c r="G14" s="298"/>
      <c r="H14" s="313">
        <f>+G14+F14</f>
        <v>0</v>
      </c>
      <c r="I14" s="156">
        <f>+H14/E14</f>
        <v>0</v>
      </c>
      <c r="J14" s="159">
        <f t="shared" ref="J14:J20" si="0">+E14-H14</f>
        <v>1</v>
      </c>
    </row>
    <row r="15" spans="1:15" ht="27" x14ac:dyDescent="0.25">
      <c r="B15" s="160" t="s">
        <v>18</v>
      </c>
      <c r="C15" s="97" t="s">
        <v>62</v>
      </c>
      <c r="D15" s="196" t="s">
        <v>61</v>
      </c>
      <c r="E15" s="250">
        <v>1</v>
      </c>
      <c r="F15" s="239"/>
      <c r="G15" s="299"/>
      <c r="H15" s="314">
        <f t="shared" ref="H15:H20" si="1">+G15+F15</f>
        <v>0</v>
      </c>
      <c r="I15" s="157">
        <f t="shared" ref="I15:I18" si="2">+H15/E15</f>
        <v>0</v>
      </c>
      <c r="J15" s="161">
        <f t="shared" si="0"/>
        <v>1</v>
      </c>
    </row>
    <row r="16" spans="1:15" ht="13.5" x14ac:dyDescent="0.25">
      <c r="B16" s="160" t="s">
        <v>19</v>
      </c>
      <c r="C16" s="97" t="s">
        <v>63</v>
      </c>
      <c r="D16" s="196" t="s">
        <v>61</v>
      </c>
      <c r="E16" s="250">
        <v>1</v>
      </c>
      <c r="F16" s="239"/>
      <c r="G16" s="300"/>
      <c r="H16" s="313">
        <f t="shared" si="1"/>
        <v>0</v>
      </c>
      <c r="I16" s="156">
        <f t="shared" si="2"/>
        <v>0</v>
      </c>
      <c r="J16" s="159">
        <f t="shared" si="0"/>
        <v>1</v>
      </c>
    </row>
    <row r="17" spans="2:10" ht="13.5" x14ac:dyDescent="0.25">
      <c r="B17" s="160" t="s">
        <v>20</v>
      </c>
      <c r="C17" s="97" t="s">
        <v>64</v>
      </c>
      <c r="D17" s="196" t="s">
        <v>61</v>
      </c>
      <c r="E17" s="250">
        <v>1</v>
      </c>
      <c r="F17" s="239"/>
      <c r="G17" s="299">
        <v>0.75</v>
      </c>
      <c r="H17" s="314">
        <f t="shared" si="1"/>
        <v>0.75</v>
      </c>
      <c r="I17" s="157">
        <f t="shared" si="2"/>
        <v>0.75</v>
      </c>
      <c r="J17" s="161">
        <f t="shared" si="0"/>
        <v>0.25</v>
      </c>
    </row>
    <row r="18" spans="2:10" ht="13.5" x14ac:dyDescent="0.25">
      <c r="B18" s="160" t="s">
        <v>21</v>
      </c>
      <c r="C18" s="97" t="s">
        <v>65</v>
      </c>
      <c r="D18" s="196" t="s">
        <v>61</v>
      </c>
      <c r="E18" s="250">
        <v>1</v>
      </c>
      <c r="F18" s="239"/>
      <c r="G18" s="299">
        <v>0.9</v>
      </c>
      <c r="H18" s="314">
        <f t="shared" si="1"/>
        <v>0.9</v>
      </c>
      <c r="I18" s="157">
        <f t="shared" si="2"/>
        <v>0.9</v>
      </c>
      <c r="J18" s="161">
        <f t="shared" si="0"/>
        <v>9.9999999999999978E-2</v>
      </c>
    </row>
    <row r="19" spans="2:10" ht="13.5" x14ac:dyDescent="0.25">
      <c r="B19" s="160" t="s">
        <v>22</v>
      </c>
      <c r="C19" s="97" t="s">
        <v>66</v>
      </c>
      <c r="D19" s="196" t="s">
        <v>61</v>
      </c>
      <c r="E19" s="250">
        <v>1</v>
      </c>
      <c r="F19" s="239"/>
      <c r="G19" s="299"/>
      <c r="H19" s="314">
        <f>+G19+F19</f>
        <v>0</v>
      </c>
      <c r="I19" s="157">
        <f t="shared" ref="I19:I20" si="3">+H19/E19</f>
        <v>0</v>
      </c>
      <c r="J19" s="161">
        <f t="shared" si="0"/>
        <v>1</v>
      </c>
    </row>
    <row r="20" spans="2:10" ht="14.25" thickBot="1" x14ac:dyDescent="0.3">
      <c r="B20" s="160" t="s">
        <v>23</v>
      </c>
      <c r="C20" s="97" t="s">
        <v>67</v>
      </c>
      <c r="D20" s="196" t="s">
        <v>61</v>
      </c>
      <c r="E20" s="250">
        <v>1</v>
      </c>
      <c r="F20" s="239"/>
      <c r="G20" s="299"/>
      <c r="H20" s="314">
        <f t="shared" si="1"/>
        <v>0</v>
      </c>
      <c r="I20" s="157">
        <f t="shared" si="3"/>
        <v>0</v>
      </c>
      <c r="J20" s="161">
        <f t="shared" si="0"/>
        <v>1</v>
      </c>
    </row>
    <row r="21" spans="2:10" ht="10.5" customHeight="1" thickBot="1" x14ac:dyDescent="0.3">
      <c r="B21" s="126"/>
      <c r="C21" s="127"/>
      <c r="D21" s="128"/>
      <c r="E21" s="251"/>
      <c r="F21" s="43"/>
      <c r="G21" s="301"/>
      <c r="H21" s="315"/>
      <c r="I21" s="129"/>
      <c r="J21" s="130"/>
    </row>
    <row r="22" spans="2:10" ht="22.9" customHeight="1" thickBot="1" x14ac:dyDescent="0.3">
      <c r="B22" s="131">
        <v>100</v>
      </c>
      <c r="C22" s="132" t="s">
        <v>71</v>
      </c>
      <c r="D22" s="124"/>
      <c r="E22" s="252"/>
      <c r="F22" s="141"/>
      <c r="G22" s="302"/>
      <c r="H22" s="316"/>
      <c r="I22" s="125"/>
      <c r="J22" s="133"/>
    </row>
    <row r="23" spans="2:10" ht="14.25" thickBot="1" x14ac:dyDescent="0.3">
      <c r="B23" s="272" t="s">
        <v>16</v>
      </c>
      <c r="C23" s="274" t="s">
        <v>0</v>
      </c>
      <c r="D23" s="274" t="s">
        <v>1</v>
      </c>
      <c r="E23" s="284" t="s">
        <v>2</v>
      </c>
      <c r="F23" s="285"/>
      <c r="G23" s="303"/>
      <c r="H23" s="317"/>
      <c r="I23" s="277"/>
      <c r="J23" s="278"/>
    </row>
    <row r="24" spans="2:10" ht="18.75" customHeight="1" x14ac:dyDescent="0.25">
      <c r="B24" s="158">
        <v>101</v>
      </c>
      <c r="C24" s="134" t="s">
        <v>68</v>
      </c>
      <c r="D24" s="135" t="s">
        <v>24</v>
      </c>
      <c r="E24" s="247">
        <v>3000</v>
      </c>
      <c r="F24" s="238"/>
      <c r="G24" s="304">
        <v>42311.199999999997</v>
      </c>
      <c r="H24" s="318">
        <f t="shared" ref="H24:H26" si="4">+G24+F24</f>
        <v>42311.199999999997</v>
      </c>
      <c r="I24" s="146">
        <f t="shared" ref="I24:I26" si="5">+H24/E24</f>
        <v>14.103733333333333</v>
      </c>
      <c r="J24" s="162">
        <f t="shared" ref="J24:J26" si="6">+E24-H24</f>
        <v>-39311.199999999997</v>
      </c>
    </row>
    <row r="25" spans="2:10" ht="27" x14ac:dyDescent="0.25">
      <c r="B25" s="160">
        <v>102</v>
      </c>
      <c r="C25" s="97" t="s">
        <v>69</v>
      </c>
      <c r="D25" s="98" t="s">
        <v>48</v>
      </c>
      <c r="E25" s="248">
        <v>200</v>
      </c>
      <c r="F25" s="239"/>
      <c r="G25" s="299"/>
      <c r="H25" s="314">
        <f t="shared" si="4"/>
        <v>0</v>
      </c>
      <c r="I25" s="147">
        <f t="shared" si="5"/>
        <v>0</v>
      </c>
      <c r="J25" s="161">
        <f t="shared" si="6"/>
        <v>200</v>
      </c>
    </row>
    <row r="26" spans="2:10" ht="18.75" customHeight="1" thickBot="1" x14ac:dyDescent="0.3">
      <c r="B26" s="160">
        <v>103</v>
      </c>
      <c r="C26" s="97" t="s">
        <v>70</v>
      </c>
      <c r="D26" s="98" t="s">
        <v>24</v>
      </c>
      <c r="E26" s="248">
        <v>400</v>
      </c>
      <c r="F26" s="239"/>
      <c r="G26" s="299">
        <v>564.15</v>
      </c>
      <c r="H26" s="314">
        <f t="shared" si="4"/>
        <v>564.15</v>
      </c>
      <c r="I26" s="147">
        <f t="shared" si="5"/>
        <v>1.4103749999999999</v>
      </c>
      <c r="J26" s="161">
        <f t="shared" si="6"/>
        <v>-164.14999999999998</v>
      </c>
    </row>
    <row r="27" spans="2:10" ht="10.5" customHeight="1" thickBot="1" x14ac:dyDescent="0.3">
      <c r="B27" s="126"/>
      <c r="C27" s="127"/>
      <c r="D27" s="128"/>
      <c r="E27" s="251"/>
      <c r="F27" s="43"/>
      <c r="G27" s="301"/>
      <c r="H27" s="315"/>
      <c r="I27" s="129"/>
      <c r="J27" s="130"/>
    </row>
    <row r="28" spans="2:10" ht="22.9" customHeight="1" x14ac:dyDescent="0.25">
      <c r="B28" s="16">
        <v>200</v>
      </c>
      <c r="C28" s="279" t="s">
        <v>80</v>
      </c>
      <c r="D28" s="18"/>
      <c r="E28" s="19"/>
      <c r="F28" s="280"/>
      <c r="G28" s="305"/>
      <c r="H28" s="281"/>
      <c r="I28" s="282"/>
      <c r="J28" s="283"/>
    </row>
    <row r="29" spans="2:10" ht="14.25" thickBot="1" x14ac:dyDescent="0.3">
      <c r="B29" s="272" t="s">
        <v>16</v>
      </c>
      <c r="C29" s="273" t="s">
        <v>0</v>
      </c>
      <c r="D29" s="274" t="s">
        <v>1</v>
      </c>
      <c r="E29" s="275" t="s">
        <v>2</v>
      </c>
      <c r="F29" s="276"/>
      <c r="G29" s="303"/>
      <c r="H29" s="317"/>
      <c r="I29" s="277"/>
      <c r="J29" s="278"/>
    </row>
    <row r="30" spans="2:10" ht="13.5" x14ac:dyDescent="0.25">
      <c r="B30" s="165">
        <v>201</v>
      </c>
      <c r="C30" s="134" t="s">
        <v>72</v>
      </c>
      <c r="D30" s="143" t="s">
        <v>73</v>
      </c>
      <c r="E30" s="246">
        <v>1500</v>
      </c>
      <c r="F30" s="238"/>
      <c r="G30" s="304">
        <v>2541.4</v>
      </c>
      <c r="H30" s="318">
        <f t="shared" ref="H30:H35" si="7">+G30+F30</f>
        <v>2541.4</v>
      </c>
      <c r="I30" s="287">
        <f t="shared" ref="I30:I35" si="8">+H30/E30</f>
        <v>1.6942666666666668</v>
      </c>
      <c r="J30" s="159">
        <f t="shared" ref="J30:J35" si="9">+E30-H30</f>
        <v>-1041.4000000000001</v>
      </c>
    </row>
    <row r="31" spans="2:10" ht="13.5" x14ac:dyDescent="0.25">
      <c r="B31" s="166">
        <v>202</v>
      </c>
      <c r="C31" s="97" t="s">
        <v>74</v>
      </c>
      <c r="D31" s="99" t="s">
        <v>73</v>
      </c>
      <c r="E31" s="232">
        <v>5050</v>
      </c>
      <c r="F31" s="239"/>
      <c r="G31" s="299">
        <v>5850</v>
      </c>
      <c r="H31" s="314">
        <f t="shared" si="7"/>
        <v>5850</v>
      </c>
      <c r="I31" s="147">
        <v>0</v>
      </c>
      <c r="J31" s="197" t="s">
        <v>51</v>
      </c>
    </row>
    <row r="32" spans="2:10" ht="13.5" x14ac:dyDescent="0.25">
      <c r="B32" s="166">
        <v>203</v>
      </c>
      <c r="C32" s="97" t="s">
        <v>75</v>
      </c>
      <c r="D32" s="99" t="s">
        <v>73</v>
      </c>
      <c r="E32" s="232">
        <v>53000</v>
      </c>
      <c r="F32" s="239"/>
      <c r="G32" s="299">
        <v>5314</v>
      </c>
      <c r="H32" s="314">
        <f t="shared" si="7"/>
        <v>5314</v>
      </c>
      <c r="I32" s="147">
        <f t="shared" si="8"/>
        <v>0.10026415094339623</v>
      </c>
      <c r="J32" s="161">
        <f t="shared" si="9"/>
        <v>47686</v>
      </c>
    </row>
    <row r="33" spans="2:10" ht="27" x14ac:dyDescent="0.25">
      <c r="B33" s="166">
        <v>204</v>
      </c>
      <c r="C33" s="97" t="s">
        <v>76</v>
      </c>
      <c r="D33" s="99" t="s">
        <v>24</v>
      </c>
      <c r="E33" s="232">
        <v>45000</v>
      </c>
      <c r="F33" s="239"/>
      <c r="G33" s="299"/>
      <c r="H33" s="314">
        <f t="shared" si="7"/>
        <v>0</v>
      </c>
      <c r="I33" s="147">
        <v>0</v>
      </c>
      <c r="J33" s="161">
        <f t="shared" si="9"/>
        <v>45000</v>
      </c>
    </row>
    <row r="34" spans="2:10" ht="13.5" x14ac:dyDescent="0.25">
      <c r="B34" s="166">
        <v>205</v>
      </c>
      <c r="C34" s="97" t="s">
        <v>77</v>
      </c>
      <c r="D34" s="99" t="s">
        <v>78</v>
      </c>
      <c r="E34" s="232">
        <v>31000</v>
      </c>
      <c r="F34" s="239"/>
      <c r="G34" s="299">
        <v>6675</v>
      </c>
      <c r="H34" s="314">
        <f t="shared" si="7"/>
        <v>6675</v>
      </c>
      <c r="I34" s="147">
        <f t="shared" si="8"/>
        <v>0.2153225806451613</v>
      </c>
      <c r="J34" s="161">
        <f t="shared" si="9"/>
        <v>24325</v>
      </c>
    </row>
    <row r="35" spans="2:10" ht="27.75" thickBot="1" x14ac:dyDescent="0.3">
      <c r="B35" s="166">
        <v>206</v>
      </c>
      <c r="C35" s="97" t="s">
        <v>79</v>
      </c>
      <c r="D35" s="99" t="s">
        <v>24</v>
      </c>
      <c r="E35" s="232">
        <v>10200</v>
      </c>
      <c r="F35" s="239"/>
      <c r="G35" s="299"/>
      <c r="H35" s="314">
        <f t="shared" si="7"/>
        <v>0</v>
      </c>
      <c r="I35" s="147">
        <f t="shared" si="8"/>
        <v>0</v>
      </c>
      <c r="J35" s="161">
        <f t="shared" si="9"/>
        <v>10200</v>
      </c>
    </row>
    <row r="36" spans="2:10" ht="10.5" customHeight="1" thickBot="1" x14ac:dyDescent="0.3">
      <c r="B36" s="126"/>
      <c r="C36" s="127"/>
      <c r="D36" s="128"/>
      <c r="E36" s="251"/>
      <c r="F36" s="43"/>
      <c r="G36" s="301"/>
      <c r="H36" s="315"/>
      <c r="I36" s="129"/>
      <c r="J36" s="130"/>
    </row>
    <row r="37" spans="2:10" ht="22.9" customHeight="1" thickBot="1" x14ac:dyDescent="0.3">
      <c r="B37" s="131">
        <v>300</v>
      </c>
      <c r="C37" s="132" t="s">
        <v>27</v>
      </c>
      <c r="D37" s="124"/>
      <c r="E37" s="260"/>
      <c r="F37" s="141"/>
      <c r="G37" s="302"/>
      <c r="H37" s="316"/>
      <c r="I37" s="142"/>
      <c r="J37" s="133"/>
    </row>
    <row r="38" spans="2:10" ht="14.25" thickBot="1" x14ac:dyDescent="0.3">
      <c r="B38" s="144" t="s">
        <v>16</v>
      </c>
      <c r="C38" s="262" t="s">
        <v>0</v>
      </c>
      <c r="D38" s="136" t="s">
        <v>1</v>
      </c>
      <c r="E38" s="261" t="s">
        <v>2</v>
      </c>
      <c r="F38" s="148"/>
      <c r="G38" s="297"/>
      <c r="H38" s="312"/>
      <c r="I38" s="145"/>
      <c r="J38" s="138"/>
    </row>
    <row r="39" spans="2:10" ht="27" x14ac:dyDescent="0.25">
      <c r="B39" s="165">
        <v>301</v>
      </c>
      <c r="C39" s="134" t="s">
        <v>81</v>
      </c>
      <c r="D39" s="143" t="s">
        <v>73</v>
      </c>
      <c r="E39" s="231">
        <v>17000</v>
      </c>
      <c r="F39" s="238"/>
      <c r="G39" s="304"/>
      <c r="H39" s="318">
        <f t="shared" ref="H39:H44" si="10">+G39+F39</f>
        <v>0</v>
      </c>
      <c r="I39" s="146">
        <f t="shared" ref="I39:I44" si="11">+H39/E39</f>
        <v>0</v>
      </c>
      <c r="J39" s="162">
        <f t="shared" ref="J39:J42" si="12">+E39-H39</f>
        <v>17000</v>
      </c>
    </row>
    <row r="40" spans="2:10" ht="27" x14ac:dyDescent="0.25">
      <c r="B40" s="166">
        <v>302</v>
      </c>
      <c r="C40" s="97" t="s">
        <v>82</v>
      </c>
      <c r="D40" s="99" t="s">
        <v>73</v>
      </c>
      <c r="E40" s="232">
        <v>5200</v>
      </c>
      <c r="F40" s="239"/>
      <c r="G40" s="299"/>
      <c r="H40" s="314">
        <f t="shared" si="10"/>
        <v>0</v>
      </c>
      <c r="I40" s="147">
        <f t="shared" si="11"/>
        <v>0</v>
      </c>
      <c r="J40" s="161">
        <f t="shared" si="12"/>
        <v>5200</v>
      </c>
    </row>
    <row r="41" spans="2:10" ht="27" x14ac:dyDescent="0.25">
      <c r="B41" s="166">
        <v>303</v>
      </c>
      <c r="C41" s="97" t="s">
        <v>83</v>
      </c>
      <c r="D41" s="99" t="s">
        <v>73</v>
      </c>
      <c r="E41" s="232">
        <v>1020</v>
      </c>
      <c r="F41" s="239"/>
      <c r="G41" s="299"/>
      <c r="H41" s="314">
        <f t="shared" si="10"/>
        <v>0</v>
      </c>
      <c r="I41" s="147">
        <f t="shared" si="11"/>
        <v>0</v>
      </c>
      <c r="J41" s="161">
        <f t="shared" si="12"/>
        <v>1020</v>
      </c>
    </row>
    <row r="42" spans="2:10" ht="13.5" x14ac:dyDescent="0.25">
      <c r="B42" s="166">
        <v>304</v>
      </c>
      <c r="C42" s="97" t="s">
        <v>84</v>
      </c>
      <c r="D42" s="99" t="s">
        <v>73</v>
      </c>
      <c r="E42" s="232">
        <v>1300</v>
      </c>
      <c r="F42" s="239"/>
      <c r="G42" s="299"/>
      <c r="H42" s="314">
        <f t="shared" si="10"/>
        <v>0</v>
      </c>
      <c r="I42" s="147">
        <f t="shared" si="11"/>
        <v>0</v>
      </c>
      <c r="J42" s="161">
        <f t="shared" si="12"/>
        <v>1300</v>
      </c>
    </row>
    <row r="43" spans="2:10" ht="13.5" x14ac:dyDescent="0.25">
      <c r="B43" s="166">
        <v>305</v>
      </c>
      <c r="C43" s="97" t="s">
        <v>85</v>
      </c>
      <c r="D43" s="99" t="s">
        <v>24</v>
      </c>
      <c r="E43" s="232">
        <v>20000</v>
      </c>
      <c r="F43" s="239"/>
      <c r="G43" s="299"/>
      <c r="H43" s="314">
        <f t="shared" ref="H43" si="13">+G43+F43</f>
        <v>0</v>
      </c>
      <c r="I43" s="147">
        <f t="shared" ref="I43" si="14">+H43/E43</f>
        <v>0</v>
      </c>
      <c r="J43" s="161">
        <f t="shared" ref="J43" si="15">+E43-H43</f>
        <v>20000</v>
      </c>
    </row>
    <row r="44" spans="2:10" ht="13.5" x14ac:dyDescent="0.25">
      <c r="B44" s="166">
        <v>307</v>
      </c>
      <c r="C44" s="97" t="s">
        <v>86</v>
      </c>
      <c r="D44" s="99" t="s">
        <v>73</v>
      </c>
      <c r="E44" s="232">
        <v>210</v>
      </c>
      <c r="F44" s="239"/>
      <c r="G44" s="299"/>
      <c r="H44" s="314">
        <f t="shared" si="10"/>
        <v>0</v>
      </c>
      <c r="I44" s="147">
        <f t="shared" si="11"/>
        <v>0</v>
      </c>
      <c r="J44" s="161">
        <f>+E44-H44</f>
        <v>210</v>
      </c>
    </row>
    <row r="45" spans="2:10" ht="14.25" thickBot="1" x14ac:dyDescent="0.3">
      <c r="B45" s="101">
        <v>305</v>
      </c>
      <c r="C45" s="102" t="s">
        <v>87</v>
      </c>
      <c r="D45" s="149" t="s">
        <v>24</v>
      </c>
      <c r="E45" s="244">
        <v>900</v>
      </c>
      <c r="F45" s="245"/>
      <c r="G45" s="306"/>
      <c r="H45" s="319">
        <f>+G45+F45</f>
        <v>0</v>
      </c>
      <c r="I45" s="150">
        <f t="shared" ref="I45" si="16">+H45/E45</f>
        <v>0</v>
      </c>
      <c r="J45" s="167">
        <f>+E45-H45</f>
        <v>900</v>
      </c>
    </row>
    <row r="46" spans="2:10" ht="10.5" customHeight="1" thickBot="1" x14ac:dyDescent="0.3">
      <c r="B46" s="126"/>
      <c r="C46" s="127"/>
      <c r="D46" s="128"/>
      <c r="E46" s="251"/>
      <c r="F46" s="43"/>
      <c r="G46" s="301"/>
      <c r="H46" s="315"/>
      <c r="I46" s="129"/>
      <c r="J46" s="130"/>
    </row>
    <row r="47" spans="2:10" ht="22.9" customHeight="1" x14ac:dyDescent="0.25">
      <c r="B47" s="50">
        <v>400</v>
      </c>
      <c r="C47" s="17" t="s">
        <v>99</v>
      </c>
      <c r="D47" s="18"/>
      <c r="E47" s="19"/>
      <c r="F47" s="21"/>
      <c r="G47" s="23"/>
      <c r="H47" s="320"/>
      <c r="I47" s="26"/>
      <c r="J47" s="85"/>
    </row>
    <row r="48" spans="2:10" ht="14.25" thickBot="1" x14ac:dyDescent="0.3">
      <c r="B48" s="151" t="s">
        <v>16</v>
      </c>
      <c r="C48" s="152" t="s">
        <v>0</v>
      </c>
      <c r="D48" s="152" t="s">
        <v>1</v>
      </c>
      <c r="E48" s="153" t="s">
        <v>2</v>
      </c>
      <c r="F48" s="243"/>
      <c r="G48" s="307"/>
      <c r="H48" s="321"/>
      <c r="I48" s="154"/>
      <c r="J48" s="155"/>
    </row>
    <row r="49" spans="2:10" ht="17.25" customHeight="1" x14ac:dyDescent="0.25">
      <c r="B49" s="174">
        <v>401</v>
      </c>
      <c r="C49" s="175" t="s">
        <v>88</v>
      </c>
      <c r="D49" s="176" t="s">
        <v>26</v>
      </c>
      <c r="E49" s="234">
        <v>9000</v>
      </c>
      <c r="F49" s="238"/>
      <c r="G49" s="304"/>
      <c r="H49" s="318">
        <f t="shared" ref="H49:H67" si="17">+G49+F49</f>
        <v>0</v>
      </c>
      <c r="I49" s="146">
        <f t="shared" ref="I49:I52" si="18">+H49/E49</f>
        <v>0</v>
      </c>
      <c r="J49" s="177">
        <f t="shared" ref="J49:J67" si="19">+E49-H49</f>
        <v>9000</v>
      </c>
    </row>
    <row r="50" spans="2:10" ht="17.25" customHeight="1" x14ac:dyDescent="0.25">
      <c r="B50" s="166">
        <v>403</v>
      </c>
      <c r="C50" s="97" t="s">
        <v>89</v>
      </c>
      <c r="D50" s="100" t="s">
        <v>26</v>
      </c>
      <c r="E50" s="235">
        <v>1800</v>
      </c>
      <c r="F50" s="239"/>
      <c r="G50" s="299"/>
      <c r="H50" s="314">
        <f t="shared" si="17"/>
        <v>0</v>
      </c>
      <c r="I50" s="147">
        <f t="shared" si="18"/>
        <v>0</v>
      </c>
      <c r="J50" s="161">
        <f t="shared" si="19"/>
        <v>1800</v>
      </c>
    </row>
    <row r="51" spans="2:10" ht="16.5" customHeight="1" x14ac:dyDescent="0.25">
      <c r="B51" s="166">
        <v>404</v>
      </c>
      <c r="C51" s="97" t="s">
        <v>90</v>
      </c>
      <c r="D51" s="100" t="s">
        <v>26</v>
      </c>
      <c r="E51" s="235">
        <v>3500</v>
      </c>
      <c r="F51" s="239"/>
      <c r="G51" s="299"/>
      <c r="H51" s="314">
        <f t="shared" si="17"/>
        <v>0</v>
      </c>
      <c r="I51" s="147">
        <f t="shared" si="18"/>
        <v>0</v>
      </c>
      <c r="J51" s="161">
        <f t="shared" si="19"/>
        <v>3500</v>
      </c>
    </row>
    <row r="52" spans="2:10" ht="13.5" x14ac:dyDescent="0.25">
      <c r="B52" s="166">
        <v>405</v>
      </c>
      <c r="C52" s="97" t="s">
        <v>91</v>
      </c>
      <c r="D52" s="100" t="s">
        <v>26</v>
      </c>
      <c r="E52" s="235">
        <v>1800</v>
      </c>
      <c r="F52" s="239"/>
      <c r="G52" s="299"/>
      <c r="H52" s="314">
        <f t="shared" si="17"/>
        <v>0</v>
      </c>
      <c r="I52" s="147">
        <f t="shared" si="18"/>
        <v>0</v>
      </c>
      <c r="J52" s="161">
        <f t="shared" si="19"/>
        <v>1800</v>
      </c>
    </row>
    <row r="53" spans="2:10" ht="16.5" customHeight="1" x14ac:dyDescent="0.25">
      <c r="B53" s="163">
        <v>406</v>
      </c>
      <c r="C53" s="97" t="s">
        <v>92</v>
      </c>
      <c r="D53" s="100" t="s">
        <v>26</v>
      </c>
      <c r="E53" s="235"/>
      <c r="F53" s="239"/>
      <c r="G53" s="299"/>
      <c r="H53" s="314">
        <f t="shared" si="17"/>
        <v>0</v>
      </c>
      <c r="I53" s="147"/>
      <c r="J53" s="161">
        <f t="shared" si="19"/>
        <v>0</v>
      </c>
    </row>
    <row r="54" spans="2:10" ht="16.5" customHeight="1" x14ac:dyDescent="0.25">
      <c r="B54" s="165">
        <v>407</v>
      </c>
      <c r="C54" s="134" t="s">
        <v>93</v>
      </c>
      <c r="D54" s="198" t="s">
        <v>48</v>
      </c>
      <c r="E54" s="236"/>
      <c r="F54" s="240"/>
      <c r="G54" s="308"/>
      <c r="H54" s="322">
        <f t="shared" si="17"/>
        <v>0</v>
      </c>
      <c r="I54" s="199"/>
      <c r="J54" s="162">
        <f t="shared" si="19"/>
        <v>0</v>
      </c>
    </row>
    <row r="55" spans="2:10" ht="16.5" customHeight="1" x14ac:dyDescent="0.25">
      <c r="B55" s="166">
        <v>408</v>
      </c>
      <c r="C55" s="97" t="s">
        <v>94</v>
      </c>
      <c r="D55" s="100" t="s">
        <v>48</v>
      </c>
      <c r="E55" s="235"/>
      <c r="F55" s="239"/>
      <c r="G55" s="299"/>
      <c r="H55" s="314">
        <f t="shared" ref="H55:H58" si="20">+G55+F55</f>
        <v>0</v>
      </c>
      <c r="I55" s="147"/>
      <c r="J55" s="161">
        <f t="shared" ref="J55:J58" si="21">+E55-H55</f>
        <v>0</v>
      </c>
    </row>
    <row r="56" spans="2:10" ht="27" x14ac:dyDescent="0.25">
      <c r="B56" s="166">
        <v>409</v>
      </c>
      <c r="C56" s="97" t="s">
        <v>95</v>
      </c>
      <c r="D56" s="100" t="s">
        <v>73</v>
      </c>
      <c r="E56" s="235"/>
      <c r="F56" s="239"/>
      <c r="G56" s="299"/>
      <c r="H56" s="314">
        <f t="shared" si="20"/>
        <v>0</v>
      </c>
      <c r="I56" s="147"/>
      <c r="J56" s="161">
        <f t="shared" si="21"/>
        <v>0</v>
      </c>
    </row>
    <row r="57" spans="2:10" ht="16.5" customHeight="1" x14ac:dyDescent="0.25">
      <c r="B57" s="163">
        <v>410</v>
      </c>
      <c r="C57" s="97" t="s">
        <v>96</v>
      </c>
      <c r="D57" s="100" t="s">
        <v>26</v>
      </c>
      <c r="E57" s="235">
        <v>180</v>
      </c>
      <c r="F57" s="239"/>
      <c r="G57" s="299"/>
      <c r="H57" s="314">
        <f t="shared" si="20"/>
        <v>0</v>
      </c>
      <c r="I57" s="147">
        <f t="shared" ref="I57:I58" si="22">+H57/E57</f>
        <v>0</v>
      </c>
      <c r="J57" s="161">
        <f t="shared" si="21"/>
        <v>180</v>
      </c>
    </row>
    <row r="58" spans="2:10" ht="16.5" customHeight="1" x14ac:dyDescent="0.25">
      <c r="B58" s="165">
        <v>411</v>
      </c>
      <c r="C58" s="134" t="s">
        <v>97</v>
      </c>
      <c r="D58" s="198" t="s">
        <v>25</v>
      </c>
      <c r="E58" s="236">
        <v>8</v>
      </c>
      <c r="F58" s="240"/>
      <c r="G58" s="308"/>
      <c r="H58" s="322">
        <f t="shared" si="20"/>
        <v>0</v>
      </c>
      <c r="I58" s="199">
        <f t="shared" si="22"/>
        <v>0</v>
      </c>
      <c r="J58" s="162">
        <f t="shared" si="21"/>
        <v>8</v>
      </c>
    </row>
    <row r="59" spans="2:10" ht="16.5" customHeight="1" thickBot="1" x14ac:dyDescent="0.3">
      <c r="B59" s="101">
        <v>412</v>
      </c>
      <c r="C59" s="102" t="s">
        <v>98</v>
      </c>
      <c r="D59" s="103" t="s">
        <v>25</v>
      </c>
      <c r="E59" s="237">
        <v>18</v>
      </c>
      <c r="F59" s="241"/>
      <c r="G59" s="439"/>
      <c r="H59" s="319">
        <f t="shared" si="17"/>
        <v>0</v>
      </c>
      <c r="I59" s="150">
        <f t="shared" ref="I59" si="23">+H59/E59</f>
        <v>0</v>
      </c>
      <c r="J59" s="167">
        <f t="shared" si="19"/>
        <v>18</v>
      </c>
    </row>
    <row r="60" spans="2:10" ht="10.5" customHeight="1" thickBot="1" x14ac:dyDescent="0.3">
      <c r="B60" s="126"/>
      <c r="C60" s="127"/>
      <c r="D60" s="128"/>
      <c r="E60" s="251"/>
      <c r="F60" s="43"/>
      <c r="G60" s="301"/>
      <c r="H60" s="315"/>
      <c r="I60" s="129"/>
      <c r="J60" s="130"/>
    </row>
    <row r="61" spans="2:10" ht="23.1" customHeight="1" thickBot="1" x14ac:dyDescent="0.3">
      <c r="B61" s="168">
        <v>500</v>
      </c>
      <c r="C61" s="169" t="s">
        <v>102</v>
      </c>
      <c r="D61" s="170"/>
      <c r="E61" s="171"/>
      <c r="F61" s="242"/>
      <c r="G61" s="296"/>
      <c r="H61" s="311"/>
      <c r="I61" s="172"/>
      <c r="J61" s="173"/>
    </row>
    <row r="62" spans="2:10" ht="14.25" thickBot="1" x14ac:dyDescent="0.3">
      <c r="B62" s="151" t="s">
        <v>16</v>
      </c>
      <c r="C62" s="152" t="s">
        <v>0</v>
      </c>
      <c r="D62" s="152" t="s">
        <v>1</v>
      </c>
      <c r="E62" s="153" t="s">
        <v>2</v>
      </c>
      <c r="F62" s="243"/>
      <c r="G62" s="307"/>
      <c r="H62" s="321"/>
      <c r="I62" s="154"/>
      <c r="J62" s="155"/>
    </row>
    <row r="63" spans="2:10" ht="14.25" thickBot="1" x14ac:dyDescent="0.3">
      <c r="B63" s="163">
        <v>501</v>
      </c>
      <c r="C63" s="97" t="s">
        <v>100</v>
      </c>
      <c r="D63" s="99" t="s">
        <v>101</v>
      </c>
      <c r="E63" s="232">
        <v>1</v>
      </c>
      <c r="F63" s="38"/>
      <c r="G63" s="300"/>
      <c r="H63" s="323">
        <f t="shared" si="17"/>
        <v>0</v>
      </c>
      <c r="I63" s="36">
        <f t="shared" ref="I63:I67" si="24">+H63/E63</f>
        <v>0</v>
      </c>
      <c r="J63" s="84">
        <f t="shared" si="19"/>
        <v>1</v>
      </c>
    </row>
    <row r="64" spans="2:10" ht="23.1" customHeight="1" thickBot="1" x14ac:dyDescent="0.3">
      <c r="B64" s="168">
        <v>600</v>
      </c>
      <c r="C64" s="169" t="s">
        <v>103</v>
      </c>
      <c r="D64" s="170"/>
      <c r="E64" s="171"/>
      <c r="F64" s="242"/>
      <c r="G64" s="302"/>
      <c r="H64" s="311"/>
      <c r="I64" s="172"/>
      <c r="J64" s="173"/>
    </row>
    <row r="65" spans="2:10" ht="14.25" thickBot="1" x14ac:dyDescent="0.3">
      <c r="B65" s="151" t="s">
        <v>16</v>
      </c>
      <c r="C65" s="152" t="s">
        <v>0</v>
      </c>
      <c r="D65" s="152" t="s">
        <v>1</v>
      </c>
      <c r="E65" s="153" t="s">
        <v>2</v>
      </c>
      <c r="F65" s="243"/>
      <c r="G65" s="307"/>
      <c r="H65" s="321"/>
      <c r="I65" s="154"/>
      <c r="J65" s="155"/>
    </row>
    <row r="66" spans="2:10" ht="13.5" x14ac:dyDescent="0.25">
      <c r="B66" s="163">
        <v>601</v>
      </c>
      <c r="C66" s="97" t="s">
        <v>104</v>
      </c>
      <c r="D66" s="99" t="s">
        <v>48</v>
      </c>
      <c r="E66" s="464">
        <v>1</v>
      </c>
      <c r="F66" s="38"/>
      <c r="G66" s="300"/>
      <c r="H66" s="323">
        <f t="shared" ref="H66" si="25">+G66+F66</f>
        <v>0</v>
      </c>
      <c r="I66" s="36">
        <f t="shared" ref="I66" si="26">+H66/E66</f>
        <v>0</v>
      </c>
      <c r="J66" s="84">
        <f t="shared" ref="J66" si="27">+E66-H66</f>
        <v>1</v>
      </c>
    </row>
    <row r="67" spans="2:10" ht="14.25" thickBot="1" x14ac:dyDescent="0.3">
      <c r="B67" s="163">
        <v>602</v>
      </c>
      <c r="C67" s="97" t="s">
        <v>105</v>
      </c>
      <c r="D67" s="99" t="s">
        <v>48</v>
      </c>
      <c r="E67" s="464">
        <v>1</v>
      </c>
      <c r="F67" s="38"/>
      <c r="G67" s="300"/>
      <c r="H67" s="323">
        <f t="shared" si="17"/>
        <v>0</v>
      </c>
      <c r="I67" s="36">
        <f t="shared" si="24"/>
        <v>0</v>
      </c>
      <c r="J67" s="84">
        <f t="shared" si="19"/>
        <v>1</v>
      </c>
    </row>
    <row r="68" spans="2:10" ht="10.5" customHeight="1" thickBot="1" x14ac:dyDescent="0.3">
      <c r="B68" s="126"/>
      <c r="C68" s="127"/>
      <c r="D68" s="128"/>
      <c r="E68" s="251"/>
      <c r="F68" s="43"/>
      <c r="G68" s="301"/>
      <c r="H68" s="315"/>
      <c r="I68" s="129"/>
      <c r="J68" s="130"/>
    </row>
    <row r="69" spans="2:10" ht="20.25" customHeight="1" thickBot="1" x14ac:dyDescent="0.3">
      <c r="B69" s="517" t="s">
        <v>138</v>
      </c>
      <c r="C69" s="518"/>
      <c r="D69" s="518"/>
      <c r="E69" s="518"/>
      <c r="F69" s="518"/>
      <c r="G69" s="518"/>
      <c r="H69" s="518"/>
      <c r="I69" s="518"/>
      <c r="J69" s="519"/>
    </row>
    <row r="70" spans="2:10" ht="22.9" customHeight="1" thickBot="1" x14ac:dyDescent="0.3">
      <c r="B70" s="292" t="s">
        <v>106</v>
      </c>
      <c r="C70" s="339" t="s">
        <v>116</v>
      </c>
      <c r="D70" s="170"/>
      <c r="E70" s="293"/>
      <c r="F70" s="294"/>
      <c r="G70" s="296"/>
      <c r="H70" s="311"/>
      <c r="I70" s="172"/>
      <c r="J70" s="295"/>
    </row>
    <row r="71" spans="2:10" ht="14.25" thickBot="1" x14ac:dyDescent="0.3">
      <c r="B71" s="144" t="s">
        <v>16</v>
      </c>
      <c r="C71" s="136" t="s">
        <v>0</v>
      </c>
      <c r="D71" s="136" t="s">
        <v>1</v>
      </c>
      <c r="E71" s="261" t="s">
        <v>2</v>
      </c>
      <c r="F71" s="148"/>
      <c r="G71" s="297"/>
      <c r="H71" s="312"/>
      <c r="I71" s="137"/>
      <c r="J71" s="138"/>
    </row>
    <row r="72" spans="2:10" ht="14.25" thickBot="1" x14ac:dyDescent="0.3">
      <c r="B72" s="190" t="s">
        <v>17</v>
      </c>
      <c r="C72" s="92" t="s">
        <v>117</v>
      </c>
      <c r="D72" s="191" t="s">
        <v>61</v>
      </c>
      <c r="E72" s="192">
        <v>1</v>
      </c>
      <c r="F72" s="238"/>
      <c r="G72" s="298"/>
      <c r="H72" s="313">
        <f>+G72+F72</f>
        <v>0</v>
      </c>
      <c r="I72" s="156">
        <f>+H72/E72</f>
        <v>0</v>
      </c>
      <c r="J72" s="159">
        <f t="shared" ref="J72" si="28">+E72-H72</f>
        <v>1</v>
      </c>
    </row>
    <row r="73" spans="2:10" ht="12.75" customHeight="1" thickBot="1" x14ac:dyDescent="0.3">
      <c r="B73" s="126"/>
      <c r="C73" s="127"/>
      <c r="D73" s="128"/>
      <c r="E73" s="251"/>
      <c r="F73" s="43"/>
      <c r="G73" s="301"/>
      <c r="H73" s="315"/>
      <c r="I73" s="129"/>
      <c r="J73" s="130"/>
    </row>
    <row r="74" spans="2:10" ht="14.25" thickBot="1" x14ac:dyDescent="0.3">
      <c r="B74" s="501" t="s">
        <v>16</v>
      </c>
      <c r="C74" s="504" t="s">
        <v>0</v>
      </c>
      <c r="D74" s="504" t="s">
        <v>1</v>
      </c>
      <c r="E74" s="507" t="s">
        <v>2</v>
      </c>
      <c r="F74" s="510" t="s">
        <v>5</v>
      </c>
      <c r="G74" s="511"/>
      <c r="H74" s="511"/>
      <c r="I74" s="511"/>
      <c r="J74" s="512"/>
    </row>
    <row r="75" spans="2:10" ht="33" customHeight="1" thickBot="1" x14ac:dyDescent="0.3">
      <c r="B75" s="502"/>
      <c r="C75" s="505"/>
      <c r="D75" s="505"/>
      <c r="E75" s="508"/>
      <c r="F75" s="286" t="s">
        <v>6</v>
      </c>
      <c r="G75" s="290" t="s">
        <v>7</v>
      </c>
      <c r="H75" s="309" t="s">
        <v>49</v>
      </c>
      <c r="I75" s="513" t="s">
        <v>9</v>
      </c>
      <c r="J75" s="83" t="s">
        <v>50</v>
      </c>
    </row>
    <row r="76" spans="2:10" ht="14.25" thickBot="1" x14ac:dyDescent="0.3">
      <c r="B76" s="503"/>
      <c r="C76" s="506"/>
      <c r="D76" s="506"/>
      <c r="E76" s="509"/>
      <c r="F76" s="286" t="s">
        <v>11</v>
      </c>
      <c r="G76" s="290" t="s">
        <v>11</v>
      </c>
      <c r="H76" s="310" t="s">
        <v>11</v>
      </c>
      <c r="I76" s="514"/>
      <c r="J76" s="291" t="s">
        <v>13</v>
      </c>
    </row>
    <row r="77" spans="2:10" ht="22.9" customHeight="1" thickBot="1" x14ac:dyDescent="0.3">
      <c r="B77" s="131">
        <v>100</v>
      </c>
      <c r="C77" s="17" t="s">
        <v>132</v>
      </c>
      <c r="D77" s="124"/>
      <c r="E77" s="252"/>
      <c r="F77" s="141"/>
      <c r="G77" s="302"/>
      <c r="H77" s="316"/>
      <c r="I77" s="125"/>
      <c r="J77" s="133"/>
    </row>
    <row r="78" spans="2:10" ht="14.25" thickBot="1" x14ac:dyDescent="0.3">
      <c r="B78" s="272" t="s">
        <v>16</v>
      </c>
      <c r="C78" s="274" t="s">
        <v>0</v>
      </c>
      <c r="D78" s="274" t="s">
        <v>1</v>
      </c>
      <c r="E78" s="284" t="s">
        <v>2</v>
      </c>
      <c r="F78" s="285"/>
      <c r="G78" s="303"/>
      <c r="H78" s="317"/>
      <c r="I78" s="277"/>
      <c r="J78" s="278"/>
    </row>
    <row r="79" spans="2:10" ht="18.75" customHeight="1" thickBot="1" x14ac:dyDescent="0.3">
      <c r="B79" s="158">
        <v>101</v>
      </c>
      <c r="C79" s="134" t="s">
        <v>118</v>
      </c>
      <c r="D79" s="135" t="s">
        <v>101</v>
      </c>
      <c r="E79" s="247">
        <v>1</v>
      </c>
      <c r="F79" s="442"/>
      <c r="G79" s="298"/>
      <c r="H79" s="318">
        <f t="shared" ref="H79:H88" si="29">+G79+F79</f>
        <v>0</v>
      </c>
      <c r="I79" s="146">
        <f t="shared" ref="I79:I88" si="30">+H79/E79</f>
        <v>0</v>
      </c>
      <c r="J79" s="162">
        <f t="shared" ref="J79:J88" si="31">+E79-H79</f>
        <v>1</v>
      </c>
    </row>
    <row r="80" spans="2:10" ht="18.75" customHeight="1" x14ac:dyDescent="0.25">
      <c r="B80" s="158">
        <v>102</v>
      </c>
      <c r="C80" s="134" t="s">
        <v>119</v>
      </c>
      <c r="D80" s="135" t="s">
        <v>101</v>
      </c>
      <c r="E80" s="247">
        <v>1</v>
      </c>
      <c r="F80" s="240"/>
      <c r="G80" s="441"/>
      <c r="H80" s="322">
        <f t="shared" si="29"/>
        <v>0</v>
      </c>
      <c r="I80" s="146">
        <f t="shared" si="30"/>
        <v>0</v>
      </c>
      <c r="J80" s="162">
        <f t="shared" si="31"/>
        <v>1</v>
      </c>
    </row>
    <row r="81" spans="2:10" ht="13.5" x14ac:dyDescent="0.25">
      <c r="B81" s="160">
        <v>103</v>
      </c>
      <c r="C81" s="97" t="s">
        <v>120</v>
      </c>
      <c r="D81" s="98" t="s">
        <v>25</v>
      </c>
      <c r="E81" s="248">
        <v>28</v>
      </c>
      <c r="F81" s="440"/>
      <c r="G81" s="299"/>
      <c r="H81" s="314">
        <f t="shared" si="29"/>
        <v>0</v>
      </c>
      <c r="I81" s="147">
        <f t="shared" si="30"/>
        <v>0</v>
      </c>
      <c r="J81" s="161">
        <f t="shared" si="31"/>
        <v>28</v>
      </c>
    </row>
    <row r="82" spans="2:10" ht="18.75" customHeight="1" x14ac:dyDescent="0.25">
      <c r="B82" s="158"/>
      <c r="C82" s="134" t="s">
        <v>121</v>
      </c>
      <c r="D82" s="135"/>
      <c r="E82" s="247"/>
      <c r="F82" s="440"/>
      <c r="G82" s="308"/>
      <c r="H82" s="314">
        <f t="shared" ref="H82:H85" si="32">+G82+F82</f>
        <v>0</v>
      </c>
      <c r="I82" s="199"/>
      <c r="J82" s="162">
        <f t="shared" ref="J82:J85" si="33">+E82-H82</f>
        <v>0</v>
      </c>
    </row>
    <row r="83" spans="2:10" ht="13.5" x14ac:dyDescent="0.25">
      <c r="B83" s="160"/>
      <c r="C83" s="97" t="s">
        <v>122</v>
      </c>
      <c r="D83" s="98"/>
      <c r="E83" s="248"/>
      <c r="F83" s="239"/>
      <c r="G83" s="299"/>
      <c r="H83" s="314">
        <f t="shared" si="32"/>
        <v>0</v>
      </c>
      <c r="I83" s="147"/>
      <c r="J83" s="161">
        <f t="shared" si="33"/>
        <v>0</v>
      </c>
    </row>
    <row r="84" spans="2:10" ht="18.75" customHeight="1" x14ac:dyDescent="0.25">
      <c r="B84" s="160"/>
      <c r="C84" s="97" t="s">
        <v>123</v>
      </c>
      <c r="D84" s="98"/>
      <c r="E84" s="248"/>
      <c r="F84" s="239"/>
      <c r="G84" s="299"/>
      <c r="H84" s="314">
        <f t="shared" si="32"/>
        <v>0</v>
      </c>
      <c r="I84" s="147"/>
      <c r="J84" s="161">
        <f t="shared" si="33"/>
        <v>0</v>
      </c>
    </row>
    <row r="85" spans="2:10" ht="13.5" x14ac:dyDescent="0.25">
      <c r="B85" s="160"/>
      <c r="C85" s="97" t="s">
        <v>124</v>
      </c>
      <c r="D85" s="98"/>
      <c r="E85" s="248"/>
      <c r="F85" s="239"/>
      <c r="G85" s="299"/>
      <c r="H85" s="314">
        <f t="shared" si="32"/>
        <v>0</v>
      </c>
      <c r="I85" s="147"/>
      <c r="J85" s="161">
        <f t="shared" si="33"/>
        <v>0</v>
      </c>
    </row>
    <row r="86" spans="2:10" ht="18.75" customHeight="1" x14ac:dyDescent="0.25">
      <c r="B86" s="160"/>
      <c r="C86" s="97" t="s">
        <v>125</v>
      </c>
      <c r="D86" s="98"/>
      <c r="E86" s="248"/>
      <c r="F86" s="241"/>
      <c r="G86" s="441"/>
      <c r="H86" s="319">
        <f t="shared" si="29"/>
        <v>0</v>
      </c>
      <c r="I86" s="147"/>
      <c r="J86" s="161">
        <f t="shared" si="31"/>
        <v>0</v>
      </c>
    </row>
    <row r="87" spans="2:10" ht="18.75" customHeight="1" x14ac:dyDescent="0.25">
      <c r="B87" s="158">
        <v>104</v>
      </c>
      <c r="C87" s="134" t="s">
        <v>126</v>
      </c>
      <c r="D87" s="135" t="s">
        <v>78</v>
      </c>
      <c r="E87" s="247">
        <v>760</v>
      </c>
      <c r="F87" s="440"/>
      <c r="G87" s="308"/>
      <c r="H87" s="314">
        <f t="shared" si="29"/>
        <v>0</v>
      </c>
      <c r="I87" s="199">
        <f t="shared" si="30"/>
        <v>0</v>
      </c>
      <c r="J87" s="162">
        <f t="shared" si="31"/>
        <v>760</v>
      </c>
    </row>
    <row r="88" spans="2:10" ht="14.25" thickBot="1" x14ac:dyDescent="0.3">
      <c r="B88" s="160">
        <v>105</v>
      </c>
      <c r="C88" s="97" t="s">
        <v>127</v>
      </c>
      <c r="D88" s="98" t="s">
        <v>128</v>
      </c>
      <c r="E88" s="248">
        <v>11000</v>
      </c>
      <c r="F88" s="239"/>
      <c r="G88" s="299"/>
      <c r="H88" s="314">
        <f t="shared" si="29"/>
        <v>0</v>
      </c>
      <c r="I88" s="147">
        <f t="shared" si="30"/>
        <v>0</v>
      </c>
      <c r="J88" s="161">
        <f t="shared" si="31"/>
        <v>11000</v>
      </c>
    </row>
    <row r="89" spans="2:10" ht="10.5" customHeight="1" thickBot="1" x14ac:dyDescent="0.3">
      <c r="B89" s="126"/>
      <c r="C89" s="127"/>
      <c r="D89" s="128"/>
      <c r="E89" s="251"/>
      <c r="F89" s="43"/>
      <c r="G89" s="301"/>
      <c r="H89" s="315"/>
      <c r="I89" s="129"/>
      <c r="J89" s="130"/>
    </row>
    <row r="90" spans="2:10" ht="22.9" customHeight="1" x14ac:dyDescent="0.25">
      <c r="B90" s="16">
        <v>200</v>
      </c>
      <c r="C90" s="17" t="s">
        <v>80</v>
      </c>
      <c r="D90" s="18"/>
      <c r="E90" s="19"/>
      <c r="F90" s="280"/>
      <c r="G90" s="305"/>
      <c r="H90" s="281"/>
      <c r="I90" s="282"/>
      <c r="J90" s="283"/>
    </row>
    <row r="91" spans="2:10" ht="14.25" thickBot="1" x14ac:dyDescent="0.3">
      <c r="B91" s="272" t="s">
        <v>16</v>
      </c>
      <c r="C91" s="273" t="s">
        <v>0</v>
      </c>
      <c r="D91" s="274" t="s">
        <v>1</v>
      </c>
      <c r="E91" s="275" t="s">
        <v>2</v>
      </c>
      <c r="F91" s="276"/>
      <c r="G91" s="303"/>
      <c r="H91" s="317"/>
      <c r="I91" s="277"/>
      <c r="J91" s="278"/>
    </row>
    <row r="92" spans="2:10" ht="13.5" x14ac:dyDescent="0.25">
      <c r="B92" s="165">
        <v>201</v>
      </c>
      <c r="C92" s="134" t="s">
        <v>129</v>
      </c>
      <c r="D92" s="143" t="s">
        <v>73</v>
      </c>
      <c r="E92" s="246">
        <v>2100</v>
      </c>
      <c r="F92" s="238"/>
      <c r="G92" s="304"/>
      <c r="H92" s="318">
        <f t="shared" ref="H92:H94" si="34">+G92+F92</f>
        <v>0</v>
      </c>
      <c r="I92" s="287">
        <f t="shared" ref="I92" si="35">+H92/E92</f>
        <v>0</v>
      </c>
      <c r="J92" s="159">
        <f t="shared" ref="J92" si="36">+E92-H92</f>
        <v>2100</v>
      </c>
    </row>
    <row r="93" spans="2:10" ht="13.5" x14ac:dyDescent="0.25">
      <c r="B93" s="166">
        <v>202</v>
      </c>
      <c r="C93" s="97" t="s">
        <v>130</v>
      </c>
      <c r="D93" s="99" t="s">
        <v>73</v>
      </c>
      <c r="E93" s="232">
        <v>5100</v>
      </c>
      <c r="F93" s="239"/>
      <c r="G93" s="299"/>
      <c r="H93" s="314">
        <f t="shared" si="34"/>
        <v>0</v>
      </c>
      <c r="I93" s="147">
        <v>0</v>
      </c>
      <c r="J93" s="197" t="s">
        <v>51</v>
      </c>
    </row>
    <row r="94" spans="2:10" ht="14.25" thickBot="1" x14ac:dyDescent="0.3">
      <c r="B94" s="166">
        <v>203</v>
      </c>
      <c r="C94" s="97" t="s">
        <v>131</v>
      </c>
      <c r="D94" s="99" t="s">
        <v>101</v>
      </c>
      <c r="E94" s="232">
        <v>1</v>
      </c>
      <c r="F94" s="239"/>
      <c r="G94" s="299"/>
      <c r="H94" s="314">
        <f t="shared" si="34"/>
        <v>0</v>
      </c>
      <c r="I94" s="147">
        <f t="shared" ref="I94" si="37">+H94/E94</f>
        <v>0</v>
      </c>
      <c r="J94" s="161">
        <f t="shared" ref="J94" si="38">+E94-H94</f>
        <v>1</v>
      </c>
    </row>
    <row r="95" spans="2:10" ht="10.5" customHeight="1" thickBot="1" x14ac:dyDescent="0.3">
      <c r="B95" s="126"/>
      <c r="C95" s="127"/>
      <c r="D95" s="128"/>
      <c r="E95" s="251"/>
      <c r="F95" s="43"/>
      <c r="G95" s="301"/>
      <c r="H95" s="315"/>
      <c r="I95" s="129"/>
      <c r="J95" s="130"/>
    </row>
    <row r="96" spans="2:10" ht="22.9" customHeight="1" thickBot="1" x14ac:dyDescent="0.3">
      <c r="B96" s="131">
        <v>300</v>
      </c>
      <c r="C96" s="17" t="s">
        <v>136</v>
      </c>
      <c r="D96" s="124"/>
      <c r="E96" s="260"/>
      <c r="F96" s="141"/>
      <c r="G96" s="302"/>
      <c r="H96" s="316"/>
      <c r="I96" s="142"/>
      <c r="J96" s="133"/>
    </row>
    <row r="97" spans="2:10" ht="14.25" thickBot="1" x14ac:dyDescent="0.3">
      <c r="B97" s="144" t="s">
        <v>16</v>
      </c>
      <c r="C97" s="262" t="s">
        <v>0</v>
      </c>
      <c r="D97" s="136" t="s">
        <v>1</v>
      </c>
      <c r="E97" s="261" t="s">
        <v>2</v>
      </c>
      <c r="F97" s="148"/>
      <c r="G97" s="297"/>
      <c r="H97" s="312"/>
      <c r="I97" s="145"/>
      <c r="J97" s="138"/>
    </row>
    <row r="98" spans="2:10" ht="13.5" x14ac:dyDescent="0.25">
      <c r="B98" s="165">
        <v>301</v>
      </c>
      <c r="C98" s="134" t="s">
        <v>133</v>
      </c>
      <c r="D98" s="143" t="s">
        <v>25</v>
      </c>
      <c r="E98" s="231">
        <v>30</v>
      </c>
      <c r="F98" s="238"/>
      <c r="G98" s="304"/>
      <c r="H98" s="318">
        <f t="shared" ref="H98:H100" si="39">+G98+F98</f>
        <v>0</v>
      </c>
      <c r="I98" s="146">
        <f t="shared" ref="I98:I100" si="40">+H98/E98</f>
        <v>0</v>
      </c>
      <c r="J98" s="162">
        <f t="shared" ref="J98:J100" si="41">+E98-H98</f>
        <v>30</v>
      </c>
    </row>
    <row r="99" spans="2:10" ht="13.5" x14ac:dyDescent="0.25">
      <c r="B99" s="166">
        <v>302</v>
      </c>
      <c r="C99" s="97" t="s">
        <v>134</v>
      </c>
      <c r="D99" s="99" t="s">
        <v>101</v>
      </c>
      <c r="E99" s="232">
        <v>1</v>
      </c>
      <c r="F99" s="239"/>
      <c r="G99" s="299"/>
      <c r="H99" s="314">
        <f t="shared" si="39"/>
        <v>0</v>
      </c>
      <c r="I99" s="147">
        <f t="shared" si="40"/>
        <v>0</v>
      </c>
      <c r="J99" s="161">
        <f t="shared" si="41"/>
        <v>1</v>
      </c>
    </row>
    <row r="100" spans="2:10" ht="14.25" thickBot="1" x14ac:dyDescent="0.3">
      <c r="B100" s="166">
        <v>303</v>
      </c>
      <c r="C100" s="97" t="s">
        <v>135</v>
      </c>
      <c r="D100" s="99" t="s">
        <v>101</v>
      </c>
      <c r="E100" s="232">
        <v>1</v>
      </c>
      <c r="F100" s="239"/>
      <c r="G100" s="299"/>
      <c r="H100" s="314">
        <f t="shared" si="39"/>
        <v>0</v>
      </c>
      <c r="I100" s="147">
        <f t="shared" si="40"/>
        <v>0</v>
      </c>
      <c r="J100" s="161">
        <f t="shared" si="41"/>
        <v>1</v>
      </c>
    </row>
    <row r="101" spans="2:10" ht="10.5" customHeight="1" thickBot="1" x14ac:dyDescent="0.3">
      <c r="B101" s="126"/>
      <c r="C101" s="127"/>
      <c r="D101" s="128"/>
      <c r="E101" s="251"/>
      <c r="F101" s="43"/>
      <c r="G101" s="301"/>
      <c r="H101" s="315"/>
      <c r="I101" s="129"/>
      <c r="J101" s="130"/>
    </row>
    <row r="102" spans="2:10" ht="20.25" customHeight="1" thickBot="1" x14ac:dyDescent="0.3">
      <c r="B102" s="517" t="s">
        <v>139</v>
      </c>
      <c r="C102" s="518"/>
      <c r="D102" s="518"/>
      <c r="E102" s="518"/>
      <c r="F102" s="518"/>
      <c r="G102" s="518"/>
      <c r="H102" s="518"/>
      <c r="I102" s="518"/>
      <c r="J102" s="519"/>
    </row>
    <row r="103" spans="2:10" ht="22.9" customHeight="1" thickBot="1" x14ac:dyDescent="0.3">
      <c r="B103" s="292" t="s">
        <v>106</v>
      </c>
      <c r="C103" s="339" t="s">
        <v>151</v>
      </c>
      <c r="D103" s="170"/>
      <c r="E103" s="293"/>
      <c r="F103" s="294"/>
      <c r="G103" s="296"/>
      <c r="H103" s="311"/>
      <c r="I103" s="172"/>
      <c r="J103" s="295"/>
    </row>
    <row r="104" spans="2:10" ht="14.25" thickBot="1" x14ac:dyDescent="0.3">
      <c r="B104" s="144" t="s">
        <v>16</v>
      </c>
      <c r="C104" s="136" t="s">
        <v>0</v>
      </c>
      <c r="D104" s="136" t="s">
        <v>1</v>
      </c>
      <c r="E104" s="261" t="s">
        <v>2</v>
      </c>
      <c r="F104" s="148"/>
      <c r="G104" s="297"/>
      <c r="H104" s="312"/>
      <c r="I104" s="137"/>
      <c r="J104" s="138"/>
    </row>
    <row r="105" spans="2:10" ht="13.5" x14ac:dyDescent="0.25">
      <c r="B105" s="444" t="s">
        <v>17</v>
      </c>
      <c r="C105" s="445" t="s">
        <v>142</v>
      </c>
      <c r="D105" s="447" t="s">
        <v>61</v>
      </c>
      <c r="E105" s="446">
        <v>1</v>
      </c>
      <c r="F105" s="238"/>
      <c r="G105" s="298"/>
      <c r="H105" s="313">
        <f>+G105+F105</f>
        <v>0</v>
      </c>
      <c r="I105" s="156">
        <f>+H105/E105</f>
        <v>0</v>
      </c>
      <c r="J105" s="159">
        <f t="shared" ref="J105" si="42">+E105-H105</f>
        <v>1</v>
      </c>
    </row>
    <row r="106" spans="2:10" ht="13.5" x14ac:dyDescent="0.25">
      <c r="B106" s="165" t="s">
        <v>18</v>
      </c>
      <c r="C106" s="134" t="s">
        <v>143</v>
      </c>
      <c r="D106" s="143" t="s">
        <v>78</v>
      </c>
      <c r="E106" s="443">
        <v>18000</v>
      </c>
      <c r="F106" s="239"/>
      <c r="G106" s="299"/>
      <c r="H106" s="314">
        <f t="shared" ref="H106:H111" si="43">+G106+F106</f>
        <v>0</v>
      </c>
      <c r="I106" s="147">
        <v>0</v>
      </c>
      <c r="J106" s="197" t="s">
        <v>51</v>
      </c>
    </row>
    <row r="107" spans="2:10" ht="13.5" x14ac:dyDescent="0.25">
      <c r="B107" s="166" t="s">
        <v>19</v>
      </c>
      <c r="C107" s="97" t="s">
        <v>144</v>
      </c>
      <c r="D107" s="99" t="s">
        <v>78</v>
      </c>
      <c r="E107" s="232">
        <v>29700</v>
      </c>
      <c r="F107" s="239"/>
      <c r="G107" s="299"/>
      <c r="H107" s="314">
        <f t="shared" si="43"/>
        <v>0</v>
      </c>
      <c r="I107" s="147">
        <f t="shared" ref="I107" si="44">+H107/E107</f>
        <v>0</v>
      </c>
      <c r="J107" s="161">
        <f t="shared" ref="J107" si="45">+E107-H107</f>
        <v>29700</v>
      </c>
    </row>
    <row r="108" spans="2:10" ht="13.5" x14ac:dyDescent="0.25">
      <c r="B108" s="166" t="s">
        <v>20</v>
      </c>
      <c r="C108" s="97" t="s">
        <v>145</v>
      </c>
      <c r="D108" s="99" t="s">
        <v>101</v>
      </c>
      <c r="E108" s="232">
        <v>1</v>
      </c>
      <c r="F108" s="239"/>
      <c r="G108" s="299"/>
      <c r="H108" s="314">
        <f t="shared" si="43"/>
        <v>0</v>
      </c>
      <c r="I108" s="147">
        <v>0</v>
      </c>
      <c r="J108" s="197" t="s">
        <v>51</v>
      </c>
    </row>
    <row r="109" spans="2:10" ht="13.5" x14ac:dyDescent="0.25">
      <c r="B109" s="166" t="s">
        <v>21</v>
      </c>
      <c r="C109" s="97" t="s">
        <v>146</v>
      </c>
      <c r="D109" s="99" t="s">
        <v>147</v>
      </c>
      <c r="E109" s="232">
        <v>1</v>
      </c>
      <c r="F109" s="239"/>
      <c r="G109" s="299"/>
      <c r="H109" s="314">
        <f t="shared" si="43"/>
        <v>0</v>
      </c>
      <c r="I109" s="147">
        <f t="shared" ref="I109" si="46">+H109/E109</f>
        <v>0</v>
      </c>
      <c r="J109" s="161">
        <f t="shared" ref="J109:J111" si="47">+E109-H109</f>
        <v>1</v>
      </c>
    </row>
    <row r="110" spans="2:10" ht="13.5" x14ac:dyDescent="0.25">
      <c r="B110" s="166" t="s">
        <v>22</v>
      </c>
      <c r="C110" s="97" t="s">
        <v>148</v>
      </c>
      <c r="D110" s="99" t="s">
        <v>149</v>
      </c>
      <c r="E110" s="232">
        <v>6</v>
      </c>
      <c r="F110" s="239"/>
      <c r="G110" s="299"/>
      <c r="H110" s="314">
        <f t="shared" si="43"/>
        <v>0</v>
      </c>
      <c r="I110" s="147">
        <v>0</v>
      </c>
      <c r="J110" s="161">
        <f t="shared" si="47"/>
        <v>6</v>
      </c>
    </row>
    <row r="111" spans="2:10" ht="14.25" thickBot="1" x14ac:dyDescent="0.3">
      <c r="B111" s="166" t="s">
        <v>23</v>
      </c>
      <c r="C111" s="97" t="s">
        <v>150</v>
      </c>
      <c r="D111" s="99" t="s">
        <v>101</v>
      </c>
      <c r="E111" s="232">
        <v>1</v>
      </c>
      <c r="F111" s="239"/>
      <c r="G111" s="299"/>
      <c r="H111" s="314">
        <f t="shared" si="43"/>
        <v>0</v>
      </c>
      <c r="I111" s="147">
        <f t="shared" ref="I111" si="48">+H111/E111</f>
        <v>0</v>
      </c>
      <c r="J111" s="161">
        <f t="shared" si="47"/>
        <v>1</v>
      </c>
    </row>
    <row r="112" spans="2:10" ht="10.5" customHeight="1" thickBot="1" x14ac:dyDescent="0.3">
      <c r="B112" s="126"/>
      <c r="C112" s="127"/>
      <c r="D112" s="128"/>
      <c r="E112" s="251"/>
      <c r="F112" s="43"/>
      <c r="G112" s="301"/>
      <c r="H112" s="315"/>
      <c r="I112" s="129"/>
      <c r="J112" s="130"/>
    </row>
    <row r="113" spans="2:10" ht="22.9" customHeight="1" thickBot="1" x14ac:dyDescent="0.3">
      <c r="B113" s="131">
        <v>100</v>
      </c>
      <c r="C113" s="17" t="s">
        <v>71</v>
      </c>
      <c r="D113" s="124"/>
      <c r="E113" s="252"/>
      <c r="F113" s="141"/>
      <c r="G113" s="302"/>
      <c r="H113" s="316"/>
      <c r="I113" s="125"/>
      <c r="J113" s="133"/>
    </row>
    <row r="114" spans="2:10" ht="14.25" thickBot="1" x14ac:dyDescent="0.3">
      <c r="B114" s="272" t="s">
        <v>16</v>
      </c>
      <c r="C114" s="274" t="s">
        <v>0</v>
      </c>
      <c r="D114" s="274" t="s">
        <v>1</v>
      </c>
      <c r="E114" s="284" t="s">
        <v>2</v>
      </c>
      <c r="F114" s="285"/>
      <c r="G114" s="303"/>
      <c r="H114" s="317"/>
      <c r="I114" s="277"/>
      <c r="J114" s="278"/>
    </row>
    <row r="115" spans="2:10" ht="18.75" customHeight="1" x14ac:dyDescent="0.25">
      <c r="B115" s="158">
        <v>101</v>
      </c>
      <c r="C115" s="134" t="s">
        <v>152</v>
      </c>
      <c r="D115" s="135" t="s">
        <v>101</v>
      </c>
      <c r="E115" s="247">
        <v>1</v>
      </c>
      <c r="F115" s="238"/>
      <c r="G115" s="304"/>
      <c r="H115" s="318">
        <f t="shared" ref="H115:H117" si="49">+G115+F115</f>
        <v>0</v>
      </c>
      <c r="I115" s="146">
        <f t="shared" ref="I115:I117" si="50">+H115/E115</f>
        <v>0</v>
      </c>
      <c r="J115" s="162">
        <f t="shared" ref="J115:J117" si="51">+E115-H115</f>
        <v>1</v>
      </c>
    </row>
    <row r="116" spans="2:10" ht="13.5" x14ac:dyDescent="0.25">
      <c r="B116" s="160">
        <v>102</v>
      </c>
      <c r="C116" s="97" t="s">
        <v>153</v>
      </c>
      <c r="D116" s="98" t="s">
        <v>101</v>
      </c>
      <c r="E116" s="248">
        <v>1</v>
      </c>
      <c r="F116" s="239"/>
      <c r="G116" s="299"/>
      <c r="H116" s="314">
        <f t="shared" si="49"/>
        <v>0</v>
      </c>
      <c r="I116" s="147">
        <f t="shared" si="50"/>
        <v>0</v>
      </c>
      <c r="J116" s="161">
        <f t="shared" si="51"/>
        <v>1</v>
      </c>
    </row>
    <row r="117" spans="2:10" ht="18.75" customHeight="1" thickBot="1" x14ac:dyDescent="0.3">
      <c r="B117" s="160">
        <v>103</v>
      </c>
      <c r="C117" s="97" t="s">
        <v>154</v>
      </c>
      <c r="D117" s="98" t="s">
        <v>155</v>
      </c>
      <c r="E117" s="248">
        <v>3500</v>
      </c>
      <c r="F117" s="239"/>
      <c r="G117" s="299"/>
      <c r="H117" s="314">
        <f t="shared" si="49"/>
        <v>0</v>
      </c>
      <c r="I117" s="147">
        <f t="shared" si="50"/>
        <v>0</v>
      </c>
      <c r="J117" s="161">
        <f t="shared" si="51"/>
        <v>3500</v>
      </c>
    </row>
    <row r="118" spans="2:10" ht="10.5" customHeight="1" thickBot="1" x14ac:dyDescent="0.3">
      <c r="B118" s="126"/>
      <c r="C118" s="127"/>
      <c r="D118" s="128"/>
      <c r="E118" s="251"/>
      <c r="F118" s="43"/>
      <c r="G118" s="301"/>
      <c r="H118" s="315"/>
      <c r="I118" s="129"/>
      <c r="J118" s="130"/>
    </row>
    <row r="119" spans="2:10" ht="22.9" customHeight="1" x14ac:dyDescent="0.25">
      <c r="B119" s="16">
        <v>200</v>
      </c>
      <c r="C119" s="279" t="s">
        <v>80</v>
      </c>
      <c r="D119" s="18"/>
      <c r="E119" s="19"/>
      <c r="F119" s="280"/>
      <c r="G119" s="305"/>
      <c r="H119" s="281"/>
      <c r="I119" s="282"/>
      <c r="J119" s="283"/>
    </row>
    <row r="120" spans="2:10" ht="14.25" thickBot="1" x14ac:dyDescent="0.3">
      <c r="B120" s="272" t="s">
        <v>16</v>
      </c>
      <c r="C120" s="273" t="s">
        <v>0</v>
      </c>
      <c r="D120" s="274" t="s">
        <v>1</v>
      </c>
      <c r="E120" s="275" t="s">
        <v>2</v>
      </c>
      <c r="F120" s="276"/>
      <c r="G120" s="303"/>
      <c r="H120" s="317"/>
      <c r="I120" s="277"/>
      <c r="J120" s="278"/>
    </row>
    <row r="121" spans="2:10" ht="13.5" x14ac:dyDescent="0.25">
      <c r="B121" s="165">
        <v>201</v>
      </c>
      <c r="C121" s="134" t="s">
        <v>156</v>
      </c>
      <c r="D121" s="143" t="s">
        <v>24</v>
      </c>
      <c r="E121" s="246">
        <v>1300</v>
      </c>
      <c r="F121" s="238"/>
      <c r="G121" s="304"/>
      <c r="H121" s="318">
        <f t="shared" ref="H121:H124" si="52">+G121+F121</f>
        <v>0</v>
      </c>
      <c r="I121" s="287">
        <f t="shared" ref="I121" si="53">+H121/E121</f>
        <v>0</v>
      </c>
      <c r="J121" s="159">
        <f t="shared" ref="J121" si="54">+E121-H121</f>
        <v>1300</v>
      </c>
    </row>
    <row r="122" spans="2:10" ht="13.5" x14ac:dyDescent="0.25">
      <c r="B122" s="166">
        <v>202</v>
      </c>
      <c r="C122" s="97" t="s">
        <v>74</v>
      </c>
      <c r="D122" s="99" t="s">
        <v>73</v>
      </c>
      <c r="E122" s="232">
        <v>450</v>
      </c>
      <c r="F122" s="239"/>
      <c r="G122" s="299"/>
      <c r="H122" s="314">
        <f t="shared" si="52"/>
        <v>0</v>
      </c>
      <c r="I122" s="147">
        <v>0</v>
      </c>
      <c r="J122" s="197" t="s">
        <v>51</v>
      </c>
    </row>
    <row r="123" spans="2:10" ht="13.5" x14ac:dyDescent="0.25">
      <c r="B123" s="166">
        <v>203</v>
      </c>
      <c r="C123" s="97" t="s">
        <v>75</v>
      </c>
      <c r="D123" s="99" t="s">
        <v>73</v>
      </c>
      <c r="E123" s="232">
        <v>420</v>
      </c>
      <c r="F123" s="239"/>
      <c r="G123" s="299"/>
      <c r="H123" s="314">
        <f t="shared" si="52"/>
        <v>0</v>
      </c>
      <c r="I123" s="147">
        <f t="shared" ref="I123" si="55">+H123/E123</f>
        <v>0</v>
      </c>
      <c r="J123" s="161">
        <f t="shared" ref="J123:J124" si="56">+E123-H123</f>
        <v>420</v>
      </c>
    </row>
    <row r="124" spans="2:10" ht="14.25" thickBot="1" x14ac:dyDescent="0.3">
      <c r="B124" s="166">
        <v>206</v>
      </c>
      <c r="C124" s="97" t="s">
        <v>157</v>
      </c>
      <c r="D124" s="99" t="s">
        <v>73</v>
      </c>
      <c r="E124" s="232">
        <v>550</v>
      </c>
      <c r="F124" s="239"/>
      <c r="G124" s="299"/>
      <c r="H124" s="314">
        <f t="shared" si="52"/>
        <v>0</v>
      </c>
      <c r="I124" s="147">
        <v>0</v>
      </c>
      <c r="J124" s="161">
        <f t="shared" si="56"/>
        <v>550</v>
      </c>
    </row>
    <row r="125" spans="2:10" ht="10.5" customHeight="1" thickBot="1" x14ac:dyDescent="0.3">
      <c r="B125" s="126"/>
      <c r="C125" s="127"/>
      <c r="D125" s="128"/>
      <c r="E125" s="251"/>
      <c r="F125" s="43"/>
      <c r="G125" s="301"/>
      <c r="H125" s="315"/>
      <c r="I125" s="129"/>
      <c r="J125" s="130"/>
    </row>
    <row r="126" spans="2:10" ht="22.9" customHeight="1" thickBot="1" x14ac:dyDescent="0.3">
      <c r="B126" s="131">
        <v>300</v>
      </c>
      <c r="C126" s="132" t="s">
        <v>27</v>
      </c>
      <c r="D126" s="124"/>
      <c r="E126" s="260"/>
      <c r="F126" s="141"/>
      <c r="G126" s="302"/>
      <c r="H126" s="316"/>
      <c r="I126" s="142"/>
      <c r="J126" s="133"/>
    </row>
    <row r="127" spans="2:10" ht="14.25" thickBot="1" x14ac:dyDescent="0.3">
      <c r="B127" s="144" t="s">
        <v>16</v>
      </c>
      <c r="C127" s="262" t="s">
        <v>0</v>
      </c>
      <c r="D127" s="136" t="s">
        <v>1</v>
      </c>
      <c r="E127" s="261" t="s">
        <v>2</v>
      </c>
      <c r="F127" s="148"/>
      <c r="G127" s="297"/>
      <c r="H127" s="312"/>
      <c r="I127" s="145"/>
      <c r="J127" s="138"/>
    </row>
    <row r="128" spans="2:10" ht="13.5" x14ac:dyDescent="0.25">
      <c r="B128" s="165">
        <v>301</v>
      </c>
      <c r="C128" s="134" t="s">
        <v>159</v>
      </c>
      <c r="D128" s="143" t="s">
        <v>24</v>
      </c>
      <c r="E128" s="231">
        <v>47</v>
      </c>
      <c r="F128" s="238"/>
      <c r="G128" s="304"/>
      <c r="H128" s="318">
        <f t="shared" ref="H128:H133" si="57">+G128+F128</f>
        <v>0</v>
      </c>
      <c r="I128" s="146">
        <f t="shared" ref="I128:I134" si="58">+H128/E128</f>
        <v>0</v>
      </c>
      <c r="J128" s="162">
        <f t="shared" ref="J128:J132" si="59">+E128-H128</f>
        <v>47</v>
      </c>
    </row>
    <row r="129" spans="2:10" ht="13.5" x14ac:dyDescent="0.25">
      <c r="B129" s="166">
        <v>302</v>
      </c>
      <c r="C129" s="97" t="s">
        <v>160</v>
      </c>
      <c r="D129" s="99" t="s">
        <v>24</v>
      </c>
      <c r="E129" s="232">
        <v>110</v>
      </c>
      <c r="F129" s="239"/>
      <c r="G129" s="299"/>
      <c r="H129" s="314">
        <f t="shared" si="57"/>
        <v>0</v>
      </c>
      <c r="I129" s="147">
        <f t="shared" si="58"/>
        <v>0</v>
      </c>
      <c r="J129" s="161">
        <f t="shared" si="59"/>
        <v>110</v>
      </c>
    </row>
    <row r="130" spans="2:10" ht="13.5" x14ac:dyDescent="0.25">
      <c r="B130" s="166">
        <v>303</v>
      </c>
      <c r="C130" s="97" t="s">
        <v>161</v>
      </c>
      <c r="D130" s="99" t="s">
        <v>24</v>
      </c>
      <c r="E130" s="232">
        <v>152</v>
      </c>
      <c r="F130" s="239"/>
      <c r="G130" s="299"/>
      <c r="H130" s="314">
        <f t="shared" si="57"/>
        <v>0</v>
      </c>
      <c r="I130" s="147">
        <f t="shared" si="58"/>
        <v>0</v>
      </c>
      <c r="J130" s="161">
        <f t="shared" si="59"/>
        <v>152</v>
      </c>
    </row>
    <row r="131" spans="2:10" ht="13.5" x14ac:dyDescent="0.25">
      <c r="B131" s="166">
        <v>304</v>
      </c>
      <c r="C131" s="97" t="s">
        <v>162</v>
      </c>
      <c r="D131" s="99" t="s">
        <v>24</v>
      </c>
      <c r="E131" s="232">
        <v>110</v>
      </c>
      <c r="F131" s="239"/>
      <c r="G131" s="299"/>
      <c r="H131" s="314">
        <f t="shared" si="57"/>
        <v>0</v>
      </c>
      <c r="I131" s="147">
        <f t="shared" si="58"/>
        <v>0</v>
      </c>
      <c r="J131" s="161">
        <f t="shared" si="59"/>
        <v>110</v>
      </c>
    </row>
    <row r="132" spans="2:10" ht="13.5" x14ac:dyDescent="0.25">
      <c r="B132" s="166">
        <v>305</v>
      </c>
      <c r="C132" s="97" t="s">
        <v>163</v>
      </c>
      <c r="D132" s="99" t="s">
        <v>24</v>
      </c>
      <c r="E132" s="232">
        <v>127</v>
      </c>
      <c r="F132" s="239"/>
      <c r="G132" s="299"/>
      <c r="H132" s="314">
        <f t="shared" si="57"/>
        <v>0</v>
      </c>
      <c r="I132" s="147">
        <f t="shared" si="58"/>
        <v>0</v>
      </c>
      <c r="J132" s="161">
        <f t="shared" si="59"/>
        <v>127</v>
      </c>
    </row>
    <row r="133" spans="2:10" ht="13.5" x14ac:dyDescent="0.25">
      <c r="B133" s="166">
        <v>306</v>
      </c>
      <c r="C133" s="97" t="s">
        <v>164</v>
      </c>
      <c r="D133" s="99" t="s">
        <v>73</v>
      </c>
      <c r="E133" s="232">
        <v>159</v>
      </c>
      <c r="F133" s="239"/>
      <c r="G133" s="299"/>
      <c r="H133" s="314">
        <f t="shared" si="57"/>
        <v>0</v>
      </c>
      <c r="I133" s="147">
        <f t="shared" si="58"/>
        <v>0</v>
      </c>
      <c r="J133" s="161">
        <f>+E133-H133</f>
        <v>159</v>
      </c>
    </row>
    <row r="134" spans="2:10" ht="14.25" thickBot="1" x14ac:dyDescent="0.3">
      <c r="B134" s="101">
        <v>307</v>
      </c>
      <c r="C134" s="102" t="s">
        <v>165</v>
      </c>
      <c r="D134" s="149" t="s">
        <v>101</v>
      </c>
      <c r="E134" s="244">
        <v>1</v>
      </c>
      <c r="F134" s="245"/>
      <c r="G134" s="306"/>
      <c r="H134" s="319">
        <f>+G134+F134</f>
        <v>0</v>
      </c>
      <c r="I134" s="150">
        <f t="shared" si="58"/>
        <v>0</v>
      </c>
      <c r="J134" s="167">
        <f>+E134-H134</f>
        <v>1</v>
      </c>
    </row>
    <row r="135" spans="2:10" ht="10.5" customHeight="1" thickBot="1" x14ac:dyDescent="0.3">
      <c r="B135" s="126"/>
      <c r="C135" s="127"/>
      <c r="D135" s="128"/>
      <c r="E135" s="251"/>
      <c r="F135" s="43"/>
      <c r="G135" s="301"/>
      <c r="H135" s="315"/>
      <c r="I135" s="129"/>
      <c r="J135" s="130"/>
    </row>
    <row r="136" spans="2:10" ht="18.75" customHeight="1" x14ac:dyDescent="0.25">
      <c r="B136" s="50">
        <v>400</v>
      </c>
      <c r="C136" s="17" t="s">
        <v>99</v>
      </c>
      <c r="D136" s="18"/>
      <c r="E136" s="19"/>
      <c r="F136" s="21"/>
      <c r="G136" s="23"/>
      <c r="H136" s="320"/>
      <c r="I136" s="26"/>
      <c r="J136" s="85"/>
    </row>
    <row r="137" spans="2:10" ht="14.25" thickBot="1" x14ac:dyDescent="0.3">
      <c r="B137" s="151" t="s">
        <v>16</v>
      </c>
      <c r="C137" s="152" t="s">
        <v>0</v>
      </c>
      <c r="D137" s="152" t="s">
        <v>1</v>
      </c>
      <c r="E137" s="153" t="s">
        <v>2</v>
      </c>
      <c r="F137" s="243"/>
      <c r="G137" s="307"/>
      <c r="H137" s="321"/>
      <c r="I137" s="154"/>
      <c r="J137" s="155"/>
    </row>
    <row r="138" spans="2:10" ht="17.25" customHeight="1" x14ac:dyDescent="0.25">
      <c r="B138" s="174">
        <v>401</v>
      </c>
      <c r="C138" s="175" t="s">
        <v>166</v>
      </c>
      <c r="D138" s="176" t="s">
        <v>24</v>
      </c>
      <c r="E138" s="234">
        <v>10</v>
      </c>
      <c r="F138" s="238"/>
      <c r="G138" s="304"/>
      <c r="H138" s="318">
        <f t="shared" ref="H138:H145" si="60">+G138+F138</f>
        <v>0</v>
      </c>
      <c r="I138" s="146">
        <f t="shared" ref="I138:I145" si="61">+H138/E138</f>
        <v>0</v>
      </c>
      <c r="J138" s="177">
        <f t="shared" ref="J138:J145" si="62">+E138-H138</f>
        <v>10</v>
      </c>
    </row>
    <row r="139" spans="2:10" ht="17.25" customHeight="1" x14ac:dyDescent="0.25">
      <c r="B139" s="166">
        <v>402</v>
      </c>
      <c r="C139" s="97" t="s">
        <v>167</v>
      </c>
      <c r="D139" s="100" t="s">
        <v>73</v>
      </c>
      <c r="E139" s="235">
        <v>51</v>
      </c>
      <c r="F139" s="239"/>
      <c r="G139" s="299"/>
      <c r="H139" s="314">
        <f t="shared" si="60"/>
        <v>0</v>
      </c>
      <c r="I139" s="147">
        <f t="shared" si="61"/>
        <v>0</v>
      </c>
      <c r="J139" s="161">
        <f t="shared" si="62"/>
        <v>51</v>
      </c>
    </row>
    <row r="140" spans="2:10" ht="16.5" customHeight="1" x14ac:dyDescent="0.25">
      <c r="B140" s="166">
        <v>403</v>
      </c>
      <c r="C140" s="97" t="s">
        <v>168</v>
      </c>
      <c r="D140" s="100" t="s">
        <v>73</v>
      </c>
      <c r="E140" s="235">
        <v>153</v>
      </c>
      <c r="F140" s="239"/>
      <c r="G140" s="299"/>
      <c r="H140" s="314">
        <f t="shared" si="60"/>
        <v>0</v>
      </c>
      <c r="I140" s="147">
        <f t="shared" si="61"/>
        <v>0</v>
      </c>
      <c r="J140" s="161">
        <f t="shared" si="62"/>
        <v>153</v>
      </c>
    </row>
    <row r="141" spans="2:10" ht="13.5" x14ac:dyDescent="0.25">
      <c r="B141" s="166">
        <v>404</v>
      </c>
      <c r="C141" s="97" t="s">
        <v>169</v>
      </c>
      <c r="D141" s="100" t="s">
        <v>73</v>
      </c>
      <c r="E141" s="235">
        <v>198</v>
      </c>
      <c r="F141" s="239"/>
      <c r="G141" s="299"/>
      <c r="H141" s="314">
        <f t="shared" si="60"/>
        <v>0</v>
      </c>
      <c r="I141" s="147">
        <f t="shared" si="61"/>
        <v>0</v>
      </c>
      <c r="J141" s="161">
        <f t="shared" si="62"/>
        <v>198</v>
      </c>
    </row>
    <row r="142" spans="2:10" ht="16.5" customHeight="1" x14ac:dyDescent="0.25">
      <c r="B142" s="163">
        <v>405</v>
      </c>
      <c r="C142" s="97" t="s">
        <v>170</v>
      </c>
      <c r="D142" s="100" t="s">
        <v>73</v>
      </c>
      <c r="E142" s="235">
        <v>41</v>
      </c>
      <c r="F142" s="239"/>
      <c r="G142" s="299"/>
      <c r="H142" s="314">
        <f t="shared" si="60"/>
        <v>0</v>
      </c>
      <c r="I142" s="147">
        <f t="shared" si="61"/>
        <v>0</v>
      </c>
      <c r="J142" s="161">
        <f t="shared" si="62"/>
        <v>41</v>
      </c>
    </row>
    <row r="143" spans="2:10" ht="16.5" customHeight="1" x14ac:dyDescent="0.25">
      <c r="B143" s="165">
        <v>406</v>
      </c>
      <c r="C143" s="134" t="s">
        <v>171</v>
      </c>
      <c r="D143" s="198" t="s">
        <v>73</v>
      </c>
      <c r="E143" s="236">
        <v>3</v>
      </c>
      <c r="F143" s="240"/>
      <c r="G143" s="308"/>
      <c r="H143" s="322">
        <f t="shared" si="60"/>
        <v>0</v>
      </c>
      <c r="I143" s="199">
        <f t="shared" si="61"/>
        <v>0</v>
      </c>
      <c r="J143" s="162">
        <f t="shared" si="62"/>
        <v>3</v>
      </c>
    </row>
    <row r="144" spans="2:10" ht="16.5" customHeight="1" x14ac:dyDescent="0.25">
      <c r="B144" s="166">
        <v>407</v>
      </c>
      <c r="C144" s="97" t="s">
        <v>172</v>
      </c>
      <c r="D144" s="100" t="s">
        <v>73</v>
      </c>
      <c r="E144" s="235">
        <v>411</v>
      </c>
      <c r="F144" s="239"/>
      <c r="G144" s="299"/>
      <c r="H144" s="314">
        <f t="shared" si="60"/>
        <v>0</v>
      </c>
      <c r="I144" s="147">
        <f t="shared" si="61"/>
        <v>0</v>
      </c>
      <c r="J144" s="161">
        <f t="shared" si="62"/>
        <v>411</v>
      </c>
    </row>
    <row r="145" spans="2:10" ht="14.25" thickBot="1" x14ac:dyDescent="0.3">
      <c r="B145" s="455">
        <v>408</v>
      </c>
      <c r="C145" s="456" t="s">
        <v>173</v>
      </c>
      <c r="D145" s="457" t="s">
        <v>73</v>
      </c>
      <c r="E145" s="458">
        <v>20</v>
      </c>
      <c r="F145" s="459"/>
      <c r="G145" s="460"/>
      <c r="H145" s="461">
        <f t="shared" si="60"/>
        <v>0</v>
      </c>
      <c r="I145" s="462">
        <f t="shared" si="61"/>
        <v>0</v>
      </c>
      <c r="J145" s="463">
        <f t="shared" si="62"/>
        <v>20</v>
      </c>
    </row>
    <row r="146" spans="2:10" ht="10.5" customHeight="1" thickBot="1" x14ac:dyDescent="0.3">
      <c r="B146" s="126"/>
      <c r="C146" s="127"/>
      <c r="D146" s="128"/>
      <c r="E146" s="251"/>
      <c r="F146" s="43"/>
      <c r="G146" s="301"/>
      <c r="H146" s="315"/>
      <c r="I146" s="129"/>
      <c r="J146" s="130"/>
    </row>
    <row r="147" spans="2:10" ht="19.5" customHeight="1" thickBot="1" x14ac:dyDescent="0.3">
      <c r="B147" s="168">
        <v>500</v>
      </c>
      <c r="C147" s="169" t="s">
        <v>102</v>
      </c>
      <c r="D147" s="170"/>
      <c r="E147" s="171"/>
      <c r="F147" s="242"/>
      <c r="G147" s="296"/>
      <c r="H147" s="311"/>
      <c r="I147" s="172"/>
      <c r="J147" s="173"/>
    </row>
    <row r="148" spans="2:10" ht="14.25" thickBot="1" x14ac:dyDescent="0.3">
      <c r="B148" s="151" t="s">
        <v>16</v>
      </c>
      <c r="C148" s="152" t="s">
        <v>0</v>
      </c>
      <c r="D148" s="152" t="s">
        <v>1</v>
      </c>
      <c r="E148" s="153" t="s">
        <v>2</v>
      </c>
      <c r="F148" s="243"/>
      <c r="G148" s="307"/>
      <c r="H148" s="321"/>
      <c r="I148" s="154"/>
      <c r="J148" s="155"/>
    </row>
    <row r="149" spans="2:10" ht="13.5" x14ac:dyDescent="0.25">
      <c r="B149" s="163">
        <v>501</v>
      </c>
      <c r="C149" s="97" t="s">
        <v>176</v>
      </c>
      <c r="D149" s="99" t="s">
        <v>128</v>
      </c>
      <c r="E149" s="232">
        <v>9000</v>
      </c>
      <c r="F149" s="38"/>
      <c r="G149" s="300"/>
      <c r="H149" s="323">
        <f t="shared" ref="H149:H150" si="63">+G149+F149</f>
        <v>0</v>
      </c>
      <c r="I149" s="36">
        <f t="shared" ref="I149:I150" si="64">+H149/E149</f>
        <v>0</v>
      </c>
      <c r="J149" s="84">
        <f t="shared" ref="J149:J150" si="65">+E149-H149</f>
        <v>9000</v>
      </c>
    </row>
    <row r="150" spans="2:10" ht="13.5" x14ac:dyDescent="0.25">
      <c r="B150" s="163">
        <v>501</v>
      </c>
      <c r="C150" s="97" t="s">
        <v>177</v>
      </c>
      <c r="D150" s="99" t="s">
        <v>128</v>
      </c>
      <c r="E150" s="464">
        <v>22100</v>
      </c>
      <c r="F150" s="38"/>
      <c r="G150" s="300"/>
      <c r="H150" s="323">
        <f t="shared" si="63"/>
        <v>0</v>
      </c>
      <c r="I150" s="36">
        <f t="shared" si="64"/>
        <v>0</v>
      </c>
      <c r="J150" s="84">
        <f t="shared" si="65"/>
        <v>22100</v>
      </c>
    </row>
    <row r="151" spans="2:10" ht="13.5" x14ac:dyDescent="0.25">
      <c r="B151" s="163">
        <v>501</v>
      </c>
      <c r="C151" s="97" t="s">
        <v>178</v>
      </c>
      <c r="D151" s="99" t="s">
        <v>128</v>
      </c>
      <c r="E151" s="464">
        <v>27130</v>
      </c>
      <c r="F151" s="38"/>
      <c r="G151" s="300"/>
      <c r="H151" s="323">
        <f t="shared" ref="H151:H152" si="66">+G151+F151</f>
        <v>0</v>
      </c>
      <c r="I151" s="36">
        <f t="shared" ref="I151:I152" si="67">+H151/E151</f>
        <v>0</v>
      </c>
      <c r="J151" s="84">
        <f t="shared" ref="J151:J152" si="68">+E151-H151</f>
        <v>27130</v>
      </c>
    </row>
    <row r="152" spans="2:10" ht="13.5" x14ac:dyDescent="0.25">
      <c r="B152" s="163">
        <v>501</v>
      </c>
      <c r="C152" s="97" t="s">
        <v>179</v>
      </c>
      <c r="D152" s="99" t="s">
        <v>128</v>
      </c>
      <c r="E152" s="464">
        <v>5453</v>
      </c>
      <c r="F152" s="38"/>
      <c r="G152" s="300"/>
      <c r="H152" s="323">
        <f t="shared" si="66"/>
        <v>0</v>
      </c>
      <c r="I152" s="36">
        <f t="shared" si="67"/>
        <v>0</v>
      </c>
      <c r="J152" s="84">
        <f t="shared" si="68"/>
        <v>5453</v>
      </c>
    </row>
    <row r="153" spans="2:10" ht="13.5" x14ac:dyDescent="0.25">
      <c r="B153" s="163">
        <v>501</v>
      </c>
      <c r="C153" s="97" t="s">
        <v>180</v>
      </c>
      <c r="D153" s="99" t="s">
        <v>128</v>
      </c>
      <c r="E153" s="464">
        <v>475</v>
      </c>
      <c r="F153" s="38"/>
      <c r="G153" s="300"/>
      <c r="H153" s="323">
        <f t="shared" ref="H153:H155" si="69">+G153+F153</f>
        <v>0</v>
      </c>
      <c r="I153" s="36">
        <f t="shared" ref="I153:I155" si="70">+H153/E153</f>
        <v>0</v>
      </c>
      <c r="J153" s="84">
        <f t="shared" ref="J153:J155" si="71">+E153-H153</f>
        <v>475</v>
      </c>
    </row>
    <row r="154" spans="2:10" ht="13.5" x14ac:dyDescent="0.25">
      <c r="B154" s="163">
        <v>501</v>
      </c>
      <c r="C154" s="97" t="s">
        <v>181</v>
      </c>
      <c r="D154" s="99" t="s">
        <v>128</v>
      </c>
      <c r="E154" s="464">
        <v>7956</v>
      </c>
      <c r="F154" s="38"/>
      <c r="G154" s="300"/>
      <c r="H154" s="323">
        <f t="shared" si="69"/>
        <v>0</v>
      </c>
      <c r="I154" s="36">
        <f t="shared" si="70"/>
        <v>0</v>
      </c>
      <c r="J154" s="84">
        <f t="shared" si="71"/>
        <v>7956</v>
      </c>
    </row>
    <row r="155" spans="2:10" ht="15.75" customHeight="1" thickBot="1" x14ac:dyDescent="0.3">
      <c r="B155" s="163">
        <v>501</v>
      </c>
      <c r="C155" s="97" t="s">
        <v>182</v>
      </c>
      <c r="D155" s="99" t="s">
        <v>128</v>
      </c>
      <c r="E155" s="465">
        <v>3256</v>
      </c>
      <c r="F155" s="38"/>
      <c r="G155" s="300"/>
      <c r="H155" s="323">
        <f t="shared" si="69"/>
        <v>0</v>
      </c>
      <c r="I155" s="36">
        <f t="shared" si="70"/>
        <v>0</v>
      </c>
      <c r="J155" s="84">
        <f t="shared" si="71"/>
        <v>3256</v>
      </c>
    </row>
    <row r="156" spans="2:10" ht="10.5" customHeight="1" thickBot="1" x14ac:dyDescent="0.3">
      <c r="B156" s="126"/>
      <c r="C156" s="127"/>
      <c r="D156" s="128"/>
      <c r="E156" s="251"/>
      <c r="F156" s="43"/>
      <c r="G156" s="301"/>
      <c r="H156" s="315"/>
      <c r="I156" s="129"/>
      <c r="J156" s="130"/>
    </row>
    <row r="157" spans="2:10" ht="23.1" customHeight="1" thickBot="1" x14ac:dyDescent="0.3">
      <c r="B157" s="448">
        <v>600</v>
      </c>
      <c r="C157" s="449" t="s">
        <v>103</v>
      </c>
      <c r="D157" s="450"/>
      <c r="E157" s="171"/>
      <c r="F157" s="451"/>
      <c r="G157" s="296"/>
      <c r="H157" s="452"/>
      <c r="I157" s="172"/>
      <c r="J157" s="173"/>
    </row>
    <row r="158" spans="2:10" ht="14.25" thickBot="1" x14ac:dyDescent="0.3">
      <c r="B158" s="151" t="s">
        <v>16</v>
      </c>
      <c r="C158" s="152" t="s">
        <v>0</v>
      </c>
      <c r="D158" s="152" t="s">
        <v>1</v>
      </c>
      <c r="E158" s="153" t="s">
        <v>2</v>
      </c>
      <c r="F158" s="243"/>
      <c r="G158" s="307"/>
      <c r="H158" s="321"/>
      <c r="I158" s="154"/>
      <c r="J158" s="155"/>
    </row>
    <row r="159" spans="2:10" ht="13.5" x14ac:dyDescent="0.25">
      <c r="B159" s="163">
        <v>601</v>
      </c>
      <c r="C159" s="97" t="s">
        <v>183</v>
      </c>
      <c r="D159" s="99" t="s">
        <v>101</v>
      </c>
      <c r="E159" s="464">
        <v>1</v>
      </c>
      <c r="F159" s="38"/>
      <c r="G159" s="300"/>
      <c r="H159" s="323">
        <f t="shared" ref="H159:H173" si="72">+G159+F159</f>
        <v>0</v>
      </c>
      <c r="I159" s="36">
        <f t="shared" ref="I159:I161" si="73">+H159/E159</f>
        <v>0</v>
      </c>
      <c r="J159" s="84">
        <f t="shared" ref="J159:J161" si="74">+E159-H159</f>
        <v>1</v>
      </c>
    </row>
    <row r="160" spans="2:10" ht="13.5" x14ac:dyDescent="0.25">
      <c r="B160" s="163">
        <v>602</v>
      </c>
      <c r="C160" s="97" t="s">
        <v>105</v>
      </c>
      <c r="D160" s="99" t="s">
        <v>48</v>
      </c>
      <c r="E160" s="464">
        <v>1</v>
      </c>
      <c r="F160" s="38"/>
      <c r="G160" s="300"/>
      <c r="H160" s="323">
        <f t="shared" si="72"/>
        <v>0</v>
      </c>
      <c r="I160" s="36">
        <f t="shared" si="73"/>
        <v>0</v>
      </c>
      <c r="J160" s="84">
        <f t="shared" si="74"/>
        <v>1</v>
      </c>
    </row>
    <row r="161" spans="2:10" ht="14.25" thickBot="1" x14ac:dyDescent="0.3">
      <c r="B161" s="164">
        <v>603</v>
      </c>
      <c r="C161" s="139" t="s">
        <v>184</v>
      </c>
      <c r="D161" s="140" t="s">
        <v>101</v>
      </c>
      <c r="E161" s="471">
        <v>1</v>
      </c>
      <c r="F161" s="194"/>
      <c r="G161" s="303"/>
      <c r="H161" s="324">
        <f t="shared" si="72"/>
        <v>0</v>
      </c>
      <c r="I161" s="195">
        <f t="shared" si="73"/>
        <v>0</v>
      </c>
      <c r="J161" s="472">
        <f t="shared" si="74"/>
        <v>1</v>
      </c>
    </row>
    <row r="162" spans="2:10" ht="21.75" customHeight="1" thickBot="1" x14ac:dyDescent="0.3">
      <c r="B162" s="501" t="s">
        <v>16</v>
      </c>
      <c r="C162" s="504" t="s">
        <v>0</v>
      </c>
      <c r="D162" s="504" t="s">
        <v>1</v>
      </c>
      <c r="E162" s="507" t="s">
        <v>2</v>
      </c>
      <c r="F162" s="510" t="s">
        <v>5</v>
      </c>
      <c r="G162" s="511"/>
      <c r="H162" s="511"/>
      <c r="I162" s="511"/>
      <c r="J162" s="512"/>
    </row>
    <row r="163" spans="2:10" ht="33" customHeight="1" thickBot="1" x14ac:dyDescent="0.3">
      <c r="B163" s="502"/>
      <c r="C163" s="505"/>
      <c r="D163" s="505"/>
      <c r="E163" s="508"/>
      <c r="F163" s="286" t="s">
        <v>6</v>
      </c>
      <c r="G163" s="290" t="s">
        <v>7</v>
      </c>
      <c r="H163" s="309" t="s">
        <v>49</v>
      </c>
      <c r="I163" s="513" t="s">
        <v>9</v>
      </c>
      <c r="J163" s="83" t="s">
        <v>50</v>
      </c>
    </row>
    <row r="164" spans="2:10" ht="14.25" thickBot="1" x14ac:dyDescent="0.3">
      <c r="B164" s="503"/>
      <c r="C164" s="506"/>
      <c r="D164" s="506"/>
      <c r="E164" s="509"/>
      <c r="F164" s="495" t="s">
        <v>11</v>
      </c>
      <c r="G164" s="309" t="s">
        <v>11</v>
      </c>
      <c r="H164" s="496" t="s">
        <v>11</v>
      </c>
      <c r="I164" s="514"/>
      <c r="J164" s="497" t="s">
        <v>13</v>
      </c>
    </row>
    <row r="165" spans="2:10" ht="13.5" x14ac:dyDescent="0.25">
      <c r="B165" s="493"/>
      <c r="C165" s="134" t="s">
        <v>185</v>
      </c>
      <c r="D165" s="143"/>
      <c r="E165" s="494"/>
      <c r="F165" s="38"/>
      <c r="G165" s="300"/>
      <c r="H165" s="323">
        <f t="shared" si="72"/>
        <v>0</v>
      </c>
      <c r="I165" s="36"/>
      <c r="J165" s="84"/>
    </row>
    <row r="166" spans="2:10" ht="13.5" x14ac:dyDescent="0.25">
      <c r="B166" s="163"/>
      <c r="C166" s="97" t="s">
        <v>186</v>
      </c>
      <c r="D166" s="99"/>
      <c r="E166" s="464"/>
      <c r="F166" s="38"/>
      <c r="G166" s="300"/>
      <c r="H166" s="323">
        <f t="shared" si="72"/>
        <v>0</v>
      </c>
      <c r="I166" s="36"/>
      <c r="J166" s="84"/>
    </row>
    <row r="167" spans="2:10" ht="13.5" x14ac:dyDescent="0.25">
      <c r="B167" s="163"/>
      <c r="C167" s="97" t="s">
        <v>187</v>
      </c>
      <c r="D167" s="99"/>
      <c r="E167" s="464"/>
      <c r="F167" s="38"/>
      <c r="G167" s="300"/>
      <c r="H167" s="323">
        <f t="shared" si="72"/>
        <v>0</v>
      </c>
      <c r="I167" s="36"/>
      <c r="J167" s="84"/>
    </row>
    <row r="168" spans="2:10" ht="13.5" x14ac:dyDescent="0.25">
      <c r="B168" s="163"/>
      <c r="C168" s="97" t="s">
        <v>188</v>
      </c>
      <c r="D168" s="99"/>
      <c r="E168" s="464"/>
      <c r="F168" s="38"/>
      <c r="G168" s="300"/>
      <c r="H168" s="323">
        <f t="shared" si="72"/>
        <v>0</v>
      </c>
      <c r="I168" s="36"/>
      <c r="J168" s="84"/>
    </row>
    <row r="169" spans="2:10" ht="13.5" x14ac:dyDescent="0.25">
      <c r="B169" s="163"/>
      <c r="C169" s="97" t="s">
        <v>189</v>
      </c>
      <c r="D169" s="99"/>
      <c r="E169" s="464"/>
      <c r="F169" s="38"/>
      <c r="G169" s="300"/>
      <c r="H169" s="323">
        <f t="shared" si="72"/>
        <v>0</v>
      </c>
      <c r="I169" s="36"/>
      <c r="J169" s="84"/>
    </row>
    <row r="170" spans="2:10" ht="13.5" x14ac:dyDescent="0.25">
      <c r="B170" s="163"/>
      <c r="C170" s="97" t="s">
        <v>190</v>
      </c>
      <c r="D170" s="99"/>
      <c r="E170" s="464"/>
      <c r="F170" s="38"/>
      <c r="G170" s="300"/>
      <c r="H170" s="323">
        <f t="shared" si="72"/>
        <v>0</v>
      </c>
      <c r="I170" s="36"/>
      <c r="J170" s="84"/>
    </row>
    <row r="171" spans="2:10" ht="13.5" x14ac:dyDescent="0.25">
      <c r="B171" s="163"/>
      <c r="C171" s="97" t="s">
        <v>191</v>
      </c>
      <c r="D171" s="99"/>
      <c r="E171" s="464"/>
      <c r="F171" s="38"/>
      <c r="G171" s="300"/>
      <c r="H171" s="323">
        <f t="shared" si="72"/>
        <v>0</v>
      </c>
      <c r="I171" s="36"/>
      <c r="J171" s="84"/>
    </row>
    <row r="172" spans="2:10" ht="13.5" x14ac:dyDescent="0.25">
      <c r="B172" s="163"/>
      <c r="C172" s="97" t="s">
        <v>192</v>
      </c>
      <c r="D172" s="99"/>
      <c r="E172" s="464"/>
      <c r="F172" s="38"/>
      <c r="G172" s="300"/>
      <c r="H172" s="323">
        <f t="shared" si="72"/>
        <v>0</v>
      </c>
      <c r="I172" s="36"/>
      <c r="J172" s="84"/>
    </row>
    <row r="173" spans="2:10" ht="14.25" thickBot="1" x14ac:dyDescent="0.3">
      <c r="B173" s="473"/>
      <c r="C173" s="456" t="s">
        <v>193</v>
      </c>
      <c r="D173" s="474"/>
      <c r="E173" s="475"/>
      <c r="F173" s="476"/>
      <c r="G173" s="477"/>
      <c r="H173" s="478">
        <f t="shared" si="72"/>
        <v>0</v>
      </c>
      <c r="I173" s="453"/>
      <c r="J173" s="454"/>
    </row>
    <row r="174" spans="2:10" ht="10.5" customHeight="1" thickBot="1" x14ac:dyDescent="0.3">
      <c r="B174" s="126"/>
      <c r="C174" s="127"/>
      <c r="D174" s="128"/>
      <c r="E174" s="251"/>
      <c r="F174" s="43"/>
      <c r="G174" s="301"/>
      <c r="H174" s="315"/>
      <c r="I174" s="129"/>
      <c r="J174" s="130"/>
    </row>
    <row r="175" spans="2:10" ht="23.1" customHeight="1" thickBot="1" x14ac:dyDescent="0.3">
      <c r="B175" s="168">
        <v>700</v>
      </c>
      <c r="C175" s="339" t="s">
        <v>27</v>
      </c>
      <c r="D175" s="170"/>
      <c r="E175" s="171"/>
      <c r="F175" s="242"/>
      <c r="G175" s="296"/>
      <c r="H175" s="311"/>
      <c r="I175" s="172"/>
      <c r="J175" s="173"/>
    </row>
    <row r="176" spans="2:10" ht="14.25" thickBot="1" x14ac:dyDescent="0.3">
      <c r="B176" s="151" t="s">
        <v>16</v>
      </c>
      <c r="C176" s="152" t="s">
        <v>0</v>
      </c>
      <c r="D176" s="152" t="s">
        <v>1</v>
      </c>
      <c r="E176" s="153" t="s">
        <v>2</v>
      </c>
      <c r="F176" s="243"/>
      <c r="G176" s="307"/>
      <c r="H176" s="321"/>
      <c r="I176" s="154"/>
      <c r="J176" s="155"/>
    </row>
    <row r="177" spans="2:11" ht="13.5" x14ac:dyDescent="0.25">
      <c r="B177" s="466">
        <v>701</v>
      </c>
      <c r="C177" s="175" t="s">
        <v>194</v>
      </c>
      <c r="D177" s="467" t="s">
        <v>73</v>
      </c>
      <c r="E177" s="468">
        <v>359</v>
      </c>
      <c r="F177" s="233"/>
      <c r="G177" s="298"/>
      <c r="H177" s="469">
        <f t="shared" ref="H177:H180" si="75">+G177+F177</f>
        <v>0</v>
      </c>
      <c r="I177" s="287">
        <f t="shared" ref="I177:I180" si="76">+H177/E177</f>
        <v>0</v>
      </c>
      <c r="J177" s="470">
        <f t="shared" ref="J177:J180" si="77">+E177-H177</f>
        <v>359</v>
      </c>
    </row>
    <row r="178" spans="2:11" ht="13.5" x14ac:dyDescent="0.25">
      <c r="B178" s="163">
        <v>702</v>
      </c>
      <c r="C178" s="97" t="s">
        <v>195</v>
      </c>
      <c r="D178" s="99" t="s">
        <v>73</v>
      </c>
      <c r="E178" s="464">
        <v>258</v>
      </c>
      <c r="F178" s="38"/>
      <c r="G178" s="300"/>
      <c r="H178" s="323">
        <f t="shared" si="75"/>
        <v>0</v>
      </c>
      <c r="I178" s="36">
        <f t="shared" si="76"/>
        <v>0</v>
      </c>
      <c r="J178" s="84">
        <f t="shared" si="77"/>
        <v>258</v>
      </c>
    </row>
    <row r="179" spans="2:11" ht="13.5" x14ac:dyDescent="0.25">
      <c r="B179" s="163">
        <v>703</v>
      </c>
      <c r="C179" s="97" t="s">
        <v>196</v>
      </c>
      <c r="D179" s="99" t="s">
        <v>73</v>
      </c>
      <c r="E179" s="464">
        <v>161</v>
      </c>
      <c r="F179" s="38"/>
      <c r="G179" s="300"/>
      <c r="H179" s="323">
        <f t="shared" si="75"/>
        <v>0</v>
      </c>
      <c r="I179" s="36">
        <f t="shared" si="76"/>
        <v>0</v>
      </c>
      <c r="J179" s="84">
        <f t="shared" si="77"/>
        <v>161</v>
      </c>
    </row>
    <row r="180" spans="2:11" ht="14.25" thickBot="1" x14ac:dyDescent="0.3">
      <c r="B180" s="164">
        <v>704</v>
      </c>
      <c r="C180" s="139" t="s">
        <v>197</v>
      </c>
      <c r="D180" s="140" t="s">
        <v>26</v>
      </c>
      <c r="E180" s="471">
        <v>1565</v>
      </c>
      <c r="F180" s="194"/>
      <c r="G180" s="303"/>
      <c r="H180" s="324">
        <f t="shared" si="75"/>
        <v>0</v>
      </c>
      <c r="I180" s="195">
        <f t="shared" si="76"/>
        <v>0</v>
      </c>
      <c r="J180" s="472">
        <f t="shared" si="77"/>
        <v>1565</v>
      </c>
    </row>
    <row r="181" spans="2:11" ht="10.5" customHeight="1" thickBot="1" x14ac:dyDescent="0.3">
      <c r="B181" s="126"/>
      <c r="C181" s="127"/>
      <c r="D181" s="128"/>
      <c r="E181" s="251"/>
      <c r="F181" s="43"/>
      <c r="G181" s="301"/>
      <c r="H181" s="315"/>
      <c r="I181" s="129"/>
      <c r="J181" s="130"/>
    </row>
    <row r="182" spans="2:11" s="81" customFormat="1" ht="39" customHeight="1" x14ac:dyDescent="0.3">
      <c r="B182" s="203"/>
      <c r="C182" s="204" t="s">
        <v>46</v>
      </c>
      <c r="D182" s="205"/>
      <c r="E182" s="205"/>
      <c r="F182" s="205"/>
      <c r="G182" s="203" t="s">
        <v>46</v>
      </c>
      <c r="H182" s="205"/>
      <c r="I182" s="203"/>
      <c r="J182" s="203"/>
      <c r="K182" s="80"/>
    </row>
    <row r="183" spans="2:11" s="81" customFormat="1" ht="19.899999999999999" customHeight="1" x14ac:dyDescent="0.3">
      <c r="F183" s="520"/>
      <c r="G183" s="520"/>
      <c r="H183" s="201"/>
      <c r="I183" s="201"/>
      <c r="J183" s="202"/>
    </row>
    <row r="184" spans="2:11" ht="20.25" x14ac:dyDescent="0.3">
      <c r="B184" s="206"/>
      <c r="C184" s="206" t="s">
        <v>52</v>
      </c>
      <c r="D184" s="4"/>
      <c r="E184" s="81"/>
      <c r="F184" s="205"/>
      <c r="G184" s="207"/>
      <c r="H184" s="206" t="s">
        <v>53</v>
      </c>
      <c r="I184" s="203"/>
      <c r="J184" s="207"/>
      <c r="K184" s="4"/>
    </row>
    <row r="185" spans="2:11" ht="19.5" customHeight="1" x14ac:dyDescent="0.3">
      <c r="B185" s="206"/>
      <c r="C185" s="206" t="s">
        <v>208</v>
      </c>
      <c r="D185" s="81"/>
      <c r="E185" s="81"/>
      <c r="F185" s="205"/>
      <c r="G185" s="208"/>
      <c r="H185" s="206" t="s">
        <v>207</v>
      </c>
      <c r="I185" s="203"/>
      <c r="J185" s="209"/>
      <c r="K185" s="82"/>
    </row>
    <row r="186" spans="2:11" ht="19.899999999999999" customHeight="1" x14ac:dyDescent="0.3">
      <c r="D186" s="81"/>
      <c r="E186" s="81"/>
      <c r="F186" s="118"/>
      <c r="G186" s="118"/>
      <c r="H186" s="492"/>
      <c r="I186" s="118"/>
      <c r="J186" s="119"/>
    </row>
    <row r="187" spans="2:11" ht="19.899999999999999" customHeight="1" x14ac:dyDescent="0.3">
      <c r="D187" s="81"/>
      <c r="E187" s="81"/>
      <c r="F187" s="118"/>
      <c r="G187" s="118"/>
      <c r="H187" s="118"/>
      <c r="I187" s="118"/>
      <c r="J187" s="119"/>
    </row>
    <row r="188" spans="2:11" ht="19.899999999999999" customHeight="1" x14ac:dyDescent="0.3">
      <c r="D188" s="81"/>
      <c r="E188" s="81"/>
      <c r="F188" s="118"/>
      <c r="G188" s="118"/>
      <c r="H188" s="118"/>
      <c r="I188" s="118"/>
      <c r="J188" s="119"/>
    </row>
    <row r="189" spans="2:11" ht="14.65" customHeight="1" x14ac:dyDescent="0.3">
      <c r="D189" s="81"/>
      <c r="E189" s="81"/>
      <c r="F189" s="118"/>
      <c r="G189" s="118"/>
      <c r="H189" s="118"/>
      <c r="I189" s="118"/>
      <c r="J189" s="119"/>
    </row>
    <row r="190" spans="2:11" ht="14.65" customHeight="1" x14ac:dyDescent="0.3">
      <c r="D190" s="81"/>
      <c r="E190" s="81"/>
      <c r="F190" s="118"/>
      <c r="G190" s="118"/>
      <c r="H190" s="118"/>
      <c r="I190" s="118"/>
      <c r="J190" s="119"/>
    </row>
    <row r="191" spans="2:11" ht="21.75" customHeight="1" x14ac:dyDescent="0.3">
      <c r="D191" s="81"/>
      <c r="E191" s="81"/>
      <c r="F191" s="118"/>
      <c r="G191" s="118"/>
      <c r="H191" s="118"/>
      <c r="I191" s="118"/>
      <c r="J191" s="119"/>
    </row>
    <row r="192" spans="2:11" ht="27" customHeight="1" x14ac:dyDescent="0.3">
      <c r="B192" s="210"/>
      <c r="C192" s="210"/>
      <c r="D192" s="81"/>
      <c r="E192" s="81"/>
      <c r="F192" s="211"/>
      <c r="G192" s="211"/>
      <c r="H192" s="210"/>
      <c r="I192" s="211"/>
      <c r="J192" s="212"/>
    </row>
    <row r="193" ht="14.65" customHeight="1" x14ac:dyDescent="0.3"/>
    <row r="194" ht="14.65" customHeight="1" x14ac:dyDescent="0.3"/>
    <row r="195" ht="14.65" customHeight="1" x14ac:dyDescent="0.3"/>
    <row r="196" ht="14.65" customHeight="1" x14ac:dyDescent="0.3"/>
    <row r="197" ht="14.65" customHeight="1" x14ac:dyDescent="0.3"/>
    <row r="198" ht="14.65" customHeight="1" x14ac:dyDescent="0.3"/>
    <row r="199" ht="14.65" customHeight="1" x14ac:dyDescent="0.3"/>
    <row r="200" ht="14.65" customHeight="1" x14ac:dyDescent="0.3"/>
    <row r="201" ht="14.65" customHeight="1" x14ac:dyDescent="0.3"/>
    <row r="202" ht="14.65" customHeight="1" x14ac:dyDescent="0.3"/>
    <row r="203" ht="14.65" customHeight="1" x14ac:dyDescent="0.3"/>
    <row r="204" ht="14.65" customHeight="1" x14ac:dyDescent="0.3"/>
    <row r="205" ht="14.65" customHeight="1" x14ac:dyDescent="0.3"/>
    <row r="206" ht="14.65" customHeight="1" x14ac:dyDescent="0.3"/>
    <row r="207" ht="14.65" customHeight="1" x14ac:dyDescent="0.3"/>
    <row r="208" ht="14.65" customHeight="1" x14ac:dyDescent="0.3"/>
    <row r="209" ht="14.65" customHeight="1" x14ac:dyDescent="0.3"/>
  </sheetData>
  <mergeCells count="27">
    <mergeCell ref="B102:J102"/>
    <mergeCell ref="F183:G183"/>
    <mergeCell ref="A3:J3"/>
    <mergeCell ref="C8:C10"/>
    <mergeCell ref="D8:D10"/>
    <mergeCell ref="E8:E10"/>
    <mergeCell ref="B8:B10"/>
    <mergeCell ref="I9:I10"/>
    <mergeCell ref="A5:J5"/>
    <mergeCell ref="A4:J4"/>
    <mergeCell ref="B74:B76"/>
    <mergeCell ref="C74:C76"/>
    <mergeCell ref="D74:D76"/>
    <mergeCell ref="E74:E76"/>
    <mergeCell ref="F74:J74"/>
    <mergeCell ref="I75:I76"/>
    <mergeCell ref="G1:J1"/>
    <mergeCell ref="F8:J8"/>
    <mergeCell ref="A2:J2"/>
    <mergeCell ref="B11:J11"/>
    <mergeCell ref="B69:J69"/>
    <mergeCell ref="B162:B164"/>
    <mergeCell ref="C162:C164"/>
    <mergeCell ref="D162:D164"/>
    <mergeCell ref="E162:E164"/>
    <mergeCell ref="F162:J162"/>
    <mergeCell ref="I163:I164"/>
  </mergeCells>
  <printOptions horizontalCentered="1"/>
  <pageMargins left="0.23622047244094491" right="0.23622047244094491" top="1.0629921259842521" bottom="0.55118110236220474" header="0.31496062992125984" footer="0.11811023622047245"/>
  <pageSetup paperSize="9" scale="55" orientation="portrait" r:id="rId1"/>
  <headerFooter alignWithMargins="0">
    <oddHeader xml:space="preserve">&amp;L&amp;G&amp;R&amp;16REPUBLIQUE GABONAISE
UNION-TRAVAIL-JUSTICE      </oddHeader>
    <oddFooter xml:space="preserve">&amp;L&amp;G&amp;C&amp;12&amp;P&amp;R&amp;G       </oddFooter>
  </headerFooter>
  <rowBreaks count="1" manualBreakCount="1">
    <brk id="7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7"/>
  <sheetViews>
    <sheetView tabSelected="1" view="pageBreakPreview" topLeftCell="A160" zoomScale="80" zoomScaleNormal="80" zoomScaleSheetLayoutView="80" zoomScalePageLayoutView="60" workbookViewId="0">
      <selection activeCell="G194" sqref="G194"/>
    </sheetView>
  </sheetViews>
  <sheetFormatPr baseColWidth="10" defaultColWidth="11.5703125" defaultRowHeight="16.5" x14ac:dyDescent="0.3"/>
  <cols>
    <col min="1" max="1" width="1.7109375" customWidth="1"/>
    <col min="2" max="2" width="5.7109375" customWidth="1"/>
    <col min="3" max="3" width="46.7109375" customWidth="1"/>
    <col min="4" max="4" width="7.5703125" bestFit="1" customWidth="1"/>
    <col min="5" max="5" width="13.28515625" customWidth="1"/>
    <col min="6" max="6" width="14.85546875" bestFit="1" customWidth="1"/>
    <col min="7" max="7" width="20.42578125" customWidth="1"/>
    <col min="8" max="8" width="15" style="3" customWidth="1"/>
    <col min="9" max="9" width="17.7109375" style="3" customWidth="1"/>
    <col min="10" max="10" width="16.85546875" style="3" customWidth="1"/>
    <col min="11" max="11" width="17.7109375" style="3" customWidth="1"/>
    <col min="12" max="12" width="13" style="3" customWidth="1"/>
    <col min="13" max="13" width="20.7109375" style="3" customWidth="1"/>
    <col min="14" max="14" width="7.85546875" style="3" bestFit="1" customWidth="1"/>
    <col min="15" max="15" width="14.28515625" style="7" customWidth="1"/>
    <col min="16" max="16" width="20" style="353" bestFit="1" customWidth="1"/>
    <col min="18" max="18" width="13" bestFit="1" customWidth="1"/>
  </cols>
  <sheetData>
    <row r="1" spans="1:18" ht="18.75" customHeight="1" x14ac:dyDescent="0.3">
      <c r="B1" s="1"/>
      <c r="C1" s="2" t="str">
        <f>+Attachement!C1</f>
        <v>Libreville, le 28 janvier 2026</v>
      </c>
      <c r="D1" s="1"/>
      <c r="F1" s="1"/>
      <c r="K1" s="4"/>
      <c r="L1" s="4"/>
      <c r="M1" s="515"/>
      <c r="N1" s="515"/>
      <c r="O1" s="515"/>
      <c r="P1" s="515"/>
      <c r="Q1" s="6"/>
      <c r="R1" s="6"/>
    </row>
    <row r="2" spans="1:18" ht="16.5" customHeight="1" x14ac:dyDescent="0.3">
      <c r="F2" s="1"/>
      <c r="G2" s="1"/>
      <c r="J2" s="2"/>
      <c r="L2" s="5"/>
    </row>
    <row r="3" spans="1:18" ht="26.25" customHeight="1" x14ac:dyDescent="0.35">
      <c r="A3" s="534" t="s">
        <v>114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</row>
    <row r="4" spans="1:18" ht="29.25" customHeight="1" x14ac:dyDescent="0.25">
      <c r="A4" s="539" t="s">
        <v>212</v>
      </c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</row>
    <row r="5" spans="1:18" ht="29.25" customHeight="1" x14ac:dyDescent="0.25">
      <c r="A5" s="541"/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</row>
    <row r="6" spans="1:18" ht="29.25" customHeight="1" x14ac:dyDescent="0.25">
      <c r="A6" s="540" t="str">
        <f>+Attachement!A5</f>
        <v>Période du 25 Juillet 2025 au 31 Decembre 2025</v>
      </c>
      <c r="B6" s="540"/>
      <c r="C6" s="540"/>
      <c r="D6" s="540"/>
      <c r="E6" s="540"/>
      <c r="F6" s="540"/>
      <c r="G6" s="540"/>
      <c r="H6" s="540"/>
      <c r="I6" s="540"/>
      <c r="J6" s="540"/>
      <c r="K6" s="540"/>
      <c r="L6" s="540"/>
      <c r="M6" s="540"/>
      <c r="N6" s="540"/>
      <c r="O6" s="540"/>
      <c r="P6" s="540"/>
    </row>
    <row r="7" spans="1:18" ht="21.75" customHeight="1" x14ac:dyDescent="0.25">
      <c r="B7" s="9" t="s">
        <v>213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256"/>
    </row>
    <row r="8" spans="1:18" ht="14.25" customHeight="1" x14ac:dyDescent="0.25">
      <c r="B8" s="11" t="s">
        <v>214</v>
      </c>
      <c r="C8" s="11"/>
      <c r="D8" s="12"/>
      <c r="E8" s="12"/>
      <c r="F8" s="12"/>
      <c r="G8" s="12"/>
      <c r="H8" s="13"/>
      <c r="I8" s="13"/>
      <c r="J8" s="13"/>
      <c r="K8" s="13"/>
      <c r="L8" s="13"/>
      <c r="M8" s="13"/>
      <c r="N8" s="13"/>
      <c r="O8" s="14"/>
      <c r="P8" s="354"/>
    </row>
    <row r="9" spans="1:18" ht="24" customHeight="1" thickBot="1" x14ac:dyDescent="0.35">
      <c r="B9" s="15"/>
      <c r="C9" s="535"/>
      <c r="D9" s="535"/>
      <c r="E9" s="535"/>
      <c r="F9" s="535"/>
      <c r="G9" s="535"/>
      <c r="H9" s="536"/>
      <c r="I9" s="536"/>
      <c r="J9" s="536"/>
      <c r="K9" s="536"/>
      <c r="L9" s="536"/>
      <c r="M9" s="536"/>
      <c r="O9" s="104"/>
      <c r="P9" s="256"/>
    </row>
    <row r="10" spans="1:18" ht="18.75" customHeight="1" thickBot="1" x14ac:dyDescent="0.3">
      <c r="B10" s="501"/>
      <c r="C10" s="504" t="s">
        <v>0</v>
      </c>
      <c r="D10" s="537" t="s">
        <v>1</v>
      </c>
      <c r="E10" s="537" t="s">
        <v>2</v>
      </c>
      <c r="F10" s="504" t="s">
        <v>3</v>
      </c>
      <c r="G10" s="546" t="s">
        <v>4</v>
      </c>
      <c r="H10" s="510" t="s">
        <v>5</v>
      </c>
      <c r="I10" s="511"/>
      <c r="J10" s="511"/>
      <c r="K10" s="511"/>
      <c r="L10" s="511"/>
      <c r="M10" s="511"/>
      <c r="N10" s="511"/>
      <c r="O10" s="511"/>
      <c r="P10" s="512"/>
    </row>
    <row r="11" spans="1:18" ht="34.5" customHeight="1" thickBot="1" x14ac:dyDescent="0.3">
      <c r="B11" s="502"/>
      <c r="C11" s="505"/>
      <c r="D11" s="538"/>
      <c r="E11" s="538"/>
      <c r="F11" s="505"/>
      <c r="G11" s="547"/>
      <c r="H11" s="527" t="s">
        <v>6</v>
      </c>
      <c r="I11" s="528"/>
      <c r="J11" s="527" t="s">
        <v>7</v>
      </c>
      <c r="K11" s="529"/>
      <c r="L11" s="530" t="s">
        <v>8</v>
      </c>
      <c r="M11" s="528"/>
      <c r="N11" s="513" t="s">
        <v>9</v>
      </c>
      <c r="O11" s="532" t="s">
        <v>10</v>
      </c>
      <c r="P11" s="533"/>
    </row>
    <row r="12" spans="1:18" ht="20.25" customHeight="1" thickBot="1" x14ac:dyDescent="0.3">
      <c r="B12" s="502"/>
      <c r="C12" s="505"/>
      <c r="D12" s="538"/>
      <c r="E12" s="538"/>
      <c r="F12" s="505"/>
      <c r="G12" s="547"/>
      <c r="H12" s="286" t="s">
        <v>11</v>
      </c>
      <c r="I12" s="271" t="s">
        <v>12</v>
      </c>
      <c r="J12" s="286" t="s">
        <v>11</v>
      </c>
      <c r="K12" s="310" t="s">
        <v>12</v>
      </c>
      <c r="L12" s="337" t="s">
        <v>11</v>
      </c>
      <c r="M12" s="310" t="s">
        <v>12</v>
      </c>
      <c r="N12" s="531"/>
      <c r="O12" s="337" t="s">
        <v>13</v>
      </c>
      <c r="P12" s="355" t="s">
        <v>14</v>
      </c>
    </row>
    <row r="13" spans="1:18" ht="20.25" customHeight="1" x14ac:dyDescent="0.25">
      <c r="B13" s="542" t="s">
        <v>137</v>
      </c>
      <c r="C13" s="543"/>
      <c r="D13" s="543"/>
      <c r="E13" s="543"/>
      <c r="F13" s="543"/>
      <c r="G13" s="543"/>
      <c r="H13" s="543"/>
      <c r="I13" s="543"/>
      <c r="J13" s="543"/>
      <c r="K13" s="543"/>
      <c r="L13" s="543"/>
      <c r="M13" s="543"/>
      <c r="N13" s="543"/>
      <c r="O13" s="543"/>
      <c r="P13" s="544"/>
    </row>
    <row r="14" spans="1:18" ht="22.9" customHeight="1" x14ac:dyDescent="0.25">
      <c r="B14" s="338" t="s">
        <v>106</v>
      </c>
      <c r="C14" s="339" t="s">
        <v>15</v>
      </c>
      <c r="D14" s="340"/>
      <c r="E14" s="341"/>
      <c r="F14" s="342"/>
      <c r="G14" s="343"/>
      <c r="H14" s="344"/>
      <c r="I14" s="345"/>
      <c r="J14" s="346"/>
      <c r="K14" s="347"/>
      <c r="L14" s="348"/>
      <c r="M14" s="347"/>
      <c r="N14" s="349"/>
      <c r="O14" s="350"/>
      <c r="P14" s="356"/>
    </row>
    <row r="15" spans="1:18" ht="13.5" x14ac:dyDescent="0.25">
      <c r="B15" s="27" t="s">
        <v>16</v>
      </c>
      <c r="C15" s="28" t="s">
        <v>0</v>
      </c>
      <c r="D15" s="179" t="s">
        <v>1</v>
      </c>
      <c r="E15" s="29" t="s">
        <v>2</v>
      </c>
      <c r="F15" s="336"/>
      <c r="G15" s="335"/>
      <c r="H15" s="30"/>
      <c r="I15" s="31"/>
      <c r="J15" s="32"/>
      <c r="K15" s="33"/>
      <c r="L15" s="34"/>
      <c r="M15" s="35"/>
      <c r="N15" s="36"/>
      <c r="O15" s="37"/>
      <c r="P15" s="357"/>
    </row>
    <row r="16" spans="1:18" ht="13.5" x14ac:dyDescent="0.25">
      <c r="B16" s="190" t="s">
        <v>17</v>
      </c>
      <c r="C16" s="92" t="s">
        <v>60</v>
      </c>
      <c r="D16" s="191" t="s">
        <v>61</v>
      </c>
      <c r="E16" s="192">
        <f>+Attachement!E14</f>
        <v>1</v>
      </c>
      <c r="F16" s="193">
        <v>100000000</v>
      </c>
      <c r="G16" s="184">
        <f t="shared" ref="G16:G22" si="0">+E16*F16</f>
        <v>100000000</v>
      </c>
      <c r="H16" s="38">
        <f>+Attachement!F14</f>
        <v>0</v>
      </c>
      <c r="I16" s="31"/>
      <c r="J16" s="265">
        <f>+Attachement!H14</f>
        <v>0</v>
      </c>
      <c r="K16" s="33">
        <f t="shared" ref="K16:K22" si="1">+J16*F16</f>
        <v>0</v>
      </c>
      <c r="L16" s="34">
        <f>+J16+H16</f>
        <v>0</v>
      </c>
      <c r="M16" s="35">
        <f t="shared" ref="M16:M22" si="2">+K16+I16</f>
        <v>0</v>
      </c>
      <c r="N16" s="36">
        <f t="shared" ref="N16:N22" si="3">+M16/G16</f>
        <v>0</v>
      </c>
      <c r="O16" s="37">
        <f>+E16-L16</f>
        <v>1</v>
      </c>
      <c r="P16" s="357">
        <f>+G16-M16</f>
        <v>100000000</v>
      </c>
      <c r="R16" s="257"/>
    </row>
    <row r="17" spans="2:20" ht="27" x14ac:dyDescent="0.25">
      <c r="B17" s="190" t="s">
        <v>18</v>
      </c>
      <c r="C17" s="92" t="s">
        <v>62</v>
      </c>
      <c r="D17" s="191" t="s">
        <v>61</v>
      </c>
      <c r="E17" s="192">
        <f>+Attachement!E15</f>
        <v>1</v>
      </c>
      <c r="F17" s="193">
        <v>15000000</v>
      </c>
      <c r="G17" s="184">
        <f t="shared" si="0"/>
        <v>15000000</v>
      </c>
      <c r="H17" s="38">
        <f>+Attachement!F15</f>
        <v>0</v>
      </c>
      <c r="I17" s="31"/>
      <c r="J17" s="265">
        <f>+Attachement!H15</f>
        <v>0</v>
      </c>
      <c r="K17" s="33">
        <f t="shared" si="1"/>
        <v>0</v>
      </c>
      <c r="L17" s="34">
        <f t="shared" ref="L17:L22" si="4">+J17+H17</f>
        <v>0</v>
      </c>
      <c r="M17" s="35">
        <f t="shared" si="2"/>
        <v>0</v>
      </c>
      <c r="N17" s="36">
        <f t="shared" si="3"/>
        <v>0</v>
      </c>
      <c r="O17" s="37">
        <f t="shared" ref="O17:O22" si="5">+E17-L17</f>
        <v>1</v>
      </c>
      <c r="P17" s="357">
        <f t="shared" ref="P17:P22" si="6">+G17-M17</f>
        <v>15000000</v>
      </c>
      <c r="R17" s="257"/>
    </row>
    <row r="18" spans="2:20" ht="13.5" x14ac:dyDescent="0.25">
      <c r="B18" s="190" t="s">
        <v>19</v>
      </c>
      <c r="C18" s="92" t="s">
        <v>63</v>
      </c>
      <c r="D18" s="191" t="s">
        <v>61</v>
      </c>
      <c r="E18" s="192">
        <f>+Attachement!E16</f>
        <v>1</v>
      </c>
      <c r="F18" s="193">
        <v>21000000</v>
      </c>
      <c r="G18" s="184">
        <f t="shared" si="0"/>
        <v>21000000</v>
      </c>
      <c r="H18" s="38">
        <f>+Attachement!F16</f>
        <v>0</v>
      </c>
      <c r="I18" s="31"/>
      <c r="J18" s="265">
        <f>+Attachement!H16</f>
        <v>0</v>
      </c>
      <c r="K18" s="33">
        <f t="shared" si="1"/>
        <v>0</v>
      </c>
      <c r="L18" s="34">
        <f t="shared" si="4"/>
        <v>0</v>
      </c>
      <c r="M18" s="35">
        <f t="shared" si="2"/>
        <v>0</v>
      </c>
      <c r="N18" s="36">
        <f t="shared" si="3"/>
        <v>0</v>
      </c>
      <c r="O18" s="37">
        <f t="shared" si="5"/>
        <v>1</v>
      </c>
      <c r="P18" s="357">
        <f t="shared" si="6"/>
        <v>21000000</v>
      </c>
      <c r="R18" s="257"/>
    </row>
    <row r="19" spans="2:20" ht="27" x14ac:dyDescent="0.25">
      <c r="B19" s="190" t="s">
        <v>20</v>
      </c>
      <c r="C19" s="92" t="s">
        <v>64</v>
      </c>
      <c r="D19" s="191" t="s">
        <v>61</v>
      </c>
      <c r="E19" s="192">
        <f>+Attachement!E17</f>
        <v>1</v>
      </c>
      <c r="F19" s="193">
        <v>18000000</v>
      </c>
      <c r="G19" s="184">
        <f t="shared" si="0"/>
        <v>18000000</v>
      </c>
      <c r="H19" s="38">
        <f>+Attachement!F17</f>
        <v>0</v>
      </c>
      <c r="I19" s="31"/>
      <c r="J19" s="265">
        <f>+Attachement!H17</f>
        <v>0.75</v>
      </c>
      <c r="K19" s="33">
        <f t="shared" si="1"/>
        <v>13500000</v>
      </c>
      <c r="L19" s="34">
        <f t="shared" si="4"/>
        <v>0.75</v>
      </c>
      <c r="M19" s="35">
        <f t="shared" si="2"/>
        <v>13500000</v>
      </c>
      <c r="N19" s="36">
        <f t="shared" si="3"/>
        <v>0.75</v>
      </c>
      <c r="O19" s="37">
        <f t="shared" si="5"/>
        <v>0.25</v>
      </c>
      <c r="P19" s="357">
        <f t="shared" si="6"/>
        <v>4500000</v>
      </c>
      <c r="R19" s="257"/>
    </row>
    <row r="20" spans="2:20" ht="13.5" x14ac:dyDescent="0.25">
      <c r="B20" s="190" t="s">
        <v>21</v>
      </c>
      <c r="C20" s="92" t="s">
        <v>65</v>
      </c>
      <c r="D20" s="191" t="s">
        <v>61</v>
      </c>
      <c r="E20" s="192">
        <f>+Attachement!E18</f>
        <v>1</v>
      </c>
      <c r="F20" s="193">
        <v>13000000</v>
      </c>
      <c r="G20" s="184">
        <f t="shared" si="0"/>
        <v>13000000</v>
      </c>
      <c r="H20" s="38">
        <f>+Attachement!F18</f>
        <v>0</v>
      </c>
      <c r="I20" s="31"/>
      <c r="J20" s="265">
        <f>+Attachement!H18</f>
        <v>0.9</v>
      </c>
      <c r="K20" s="33">
        <f t="shared" si="1"/>
        <v>11700000</v>
      </c>
      <c r="L20" s="34">
        <f t="shared" si="4"/>
        <v>0.9</v>
      </c>
      <c r="M20" s="35">
        <f t="shared" si="2"/>
        <v>11700000</v>
      </c>
      <c r="N20" s="36">
        <f t="shared" si="3"/>
        <v>0.9</v>
      </c>
      <c r="O20" s="37">
        <f t="shared" si="5"/>
        <v>9.9999999999999978E-2</v>
      </c>
      <c r="P20" s="357">
        <f t="shared" si="6"/>
        <v>1300000</v>
      </c>
      <c r="R20" s="257"/>
    </row>
    <row r="21" spans="2:20" ht="13.5" x14ac:dyDescent="0.25">
      <c r="B21" s="190" t="s">
        <v>22</v>
      </c>
      <c r="C21" s="92" t="s">
        <v>66</v>
      </c>
      <c r="D21" s="191" t="s">
        <v>61</v>
      </c>
      <c r="E21" s="192">
        <f>+Attachement!E19</f>
        <v>1</v>
      </c>
      <c r="F21" s="193">
        <v>23000000</v>
      </c>
      <c r="G21" s="184">
        <f t="shared" si="0"/>
        <v>23000000</v>
      </c>
      <c r="H21" s="38">
        <f>+Attachement!F19</f>
        <v>0</v>
      </c>
      <c r="I21" s="31"/>
      <c r="J21" s="265">
        <f>+Attachement!H19</f>
        <v>0</v>
      </c>
      <c r="K21" s="33">
        <f t="shared" si="1"/>
        <v>0</v>
      </c>
      <c r="L21" s="34">
        <f t="shared" si="4"/>
        <v>0</v>
      </c>
      <c r="M21" s="35">
        <f t="shared" si="2"/>
        <v>0</v>
      </c>
      <c r="N21" s="36">
        <f t="shared" si="3"/>
        <v>0</v>
      </c>
      <c r="O21" s="37">
        <f t="shared" si="5"/>
        <v>1</v>
      </c>
      <c r="P21" s="357">
        <f t="shared" si="6"/>
        <v>23000000</v>
      </c>
      <c r="R21" s="257"/>
    </row>
    <row r="22" spans="2:20" ht="27.75" thickBot="1" x14ac:dyDescent="0.3">
      <c r="B22" s="190" t="s">
        <v>23</v>
      </c>
      <c r="C22" s="92" t="s">
        <v>67</v>
      </c>
      <c r="D22" s="191" t="s">
        <v>61</v>
      </c>
      <c r="E22" s="192">
        <f>+Attachement!E20</f>
        <v>1</v>
      </c>
      <c r="F22" s="193">
        <v>8000000</v>
      </c>
      <c r="G22" s="184">
        <f t="shared" si="0"/>
        <v>8000000</v>
      </c>
      <c r="H22" s="38">
        <f>+Attachement!F20</f>
        <v>0</v>
      </c>
      <c r="I22" s="31"/>
      <c r="J22" s="265">
        <f>+Attachement!H20</f>
        <v>0</v>
      </c>
      <c r="K22" s="33">
        <f t="shared" si="1"/>
        <v>0</v>
      </c>
      <c r="L22" s="34">
        <f t="shared" si="4"/>
        <v>0</v>
      </c>
      <c r="M22" s="35">
        <f t="shared" si="2"/>
        <v>0</v>
      </c>
      <c r="N22" s="36">
        <f t="shared" si="3"/>
        <v>0</v>
      </c>
      <c r="O22" s="37">
        <f t="shared" si="5"/>
        <v>1</v>
      </c>
      <c r="P22" s="357">
        <f t="shared" si="6"/>
        <v>8000000</v>
      </c>
      <c r="R22" s="257"/>
    </row>
    <row r="23" spans="2:20" ht="22.9" customHeight="1" thickBot="1" x14ac:dyDescent="0.3">
      <c r="B23" s="39"/>
      <c r="C23" s="40" t="s">
        <v>107</v>
      </c>
      <c r="D23" s="180"/>
      <c r="E23" s="41"/>
      <c r="F23" s="42"/>
      <c r="G23" s="185">
        <f>+SUBTOTAL(9,G15:G22)</f>
        <v>198000000</v>
      </c>
      <c r="H23" s="43"/>
      <c r="I23" s="44">
        <f>+SUBTOTAL(9,I15:I22)</f>
        <v>0</v>
      </c>
      <c r="J23" s="45"/>
      <c r="K23" s="46">
        <f>+SUBTOTAL(9,K15:K22)</f>
        <v>25200000</v>
      </c>
      <c r="L23" s="47"/>
      <c r="M23" s="44">
        <f>+SUBTOTAL(9,M15:M22)</f>
        <v>25200000</v>
      </c>
      <c r="N23" s="48">
        <f>+M23/G23</f>
        <v>0.12727272727272726</v>
      </c>
      <c r="O23" s="49"/>
      <c r="P23" s="358">
        <f>+SUBTOTAL(9,P15:P22)</f>
        <v>172800000</v>
      </c>
    </row>
    <row r="24" spans="2:20" ht="22.9" customHeight="1" x14ac:dyDescent="0.25">
      <c r="B24" s="50">
        <v>100</v>
      </c>
      <c r="C24" s="17" t="s">
        <v>71</v>
      </c>
      <c r="D24" s="178"/>
      <c r="E24" s="19"/>
      <c r="F24" s="20"/>
      <c r="G24" s="183"/>
      <c r="H24" s="21"/>
      <c r="I24" s="22"/>
      <c r="J24" s="23"/>
      <c r="K24" s="24"/>
      <c r="L24" s="25"/>
      <c r="M24" s="51"/>
      <c r="N24" s="26"/>
      <c r="O24" s="52"/>
      <c r="P24" s="359"/>
    </row>
    <row r="25" spans="2:20" ht="13.5" x14ac:dyDescent="0.25">
      <c r="B25" s="55" t="s">
        <v>16</v>
      </c>
      <c r="C25" s="28" t="s">
        <v>0</v>
      </c>
      <c r="D25" s="179" t="s">
        <v>1</v>
      </c>
      <c r="E25" s="29" t="s">
        <v>2</v>
      </c>
      <c r="F25" s="334"/>
      <c r="G25" s="335"/>
      <c r="H25" s="30"/>
      <c r="I25" s="31"/>
      <c r="J25" s="32"/>
      <c r="K25" s="53"/>
      <c r="L25" s="34"/>
      <c r="M25" s="54"/>
      <c r="N25" s="36"/>
      <c r="O25" s="37"/>
      <c r="P25" s="360"/>
      <c r="R25" s="257"/>
      <c r="T25" s="257"/>
    </row>
    <row r="26" spans="2:20" ht="27" x14ac:dyDescent="0.25">
      <c r="B26" s="190">
        <v>101</v>
      </c>
      <c r="C26" s="92" t="s">
        <v>68</v>
      </c>
      <c r="D26" s="191" t="s">
        <v>24</v>
      </c>
      <c r="E26" s="192">
        <f>+Attachement!E24</f>
        <v>3000</v>
      </c>
      <c r="F26" s="193">
        <v>720</v>
      </c>
      <c r="G26" s="184">
        <f t="shared" ref="G26:G28" si="7">+E26*F26</f>
        <v>2160000</v>
      </c>
      <c r="H26" s="38">
        <f>+Attachement!F24</f>
        <v>0</v>
      </c>
      <c r="I26" s="31">
        <f>H26*F26</f>
        <v>0</v>
      </c>
      <c r="J26" s="265">
        <f>+Attachement!G24</f>
        <v>42311.199999999997</v>
      </c>
      <c r="K26" s="33">
        <f t="shared" ref="K26:K28" si="8">+J26*F26</f>
        <v>30464063.999999996</v>
      </c>
      <c r="L26" s="34">
        <f t="shared" ref="L26:M28" si="9">+J26+H26</f>
        <v>42311.199999999997</v>
      </c>
      <c r="M26" s="35">
        <f t="shared" si="9"/>
        <v>30464063.999999996</v>
      </c>
      <c r="N26" s="36">
        <f t="shared" ref="N26:N27" si="10">+M26/G26</f>
        <v>14.103733333333331</v>
      </c>
      <c r="O26" s="37">
        <f>+E26-L26</f>
        <v>-39311.199999999997</v>
      </c>
      <c r="P26" s="357">
        <f>+G26-M26</f>
        <v>-28304063.999999996</v>
      </c>
      <c r="R26" s="257"/>
      <c r="T26" s="257"/>
    </row>
    <row r="27" spans="2:20" ht="27" x14ac:dyDescent="0.25">
      <c r="B27" s="190">
        <v>102</v>
      </c>
      <c r="C27" s="92" t="s">
        <v>69</v>
      </c>
      <c r="D27" s="191" t="s">
        <v>48</v>
      </c>
      <c r="E27" s="192">
        <f>+Attachement!E25</f>
        <v>200</v>
      </c>
      <c r="F27" s="193">
        <v>56000</v>
      </c>
      <c r="G27" s="184">
        <f t="shared" si="7"/>
        <v>11200000</v>
      </c>
      <c r="H27" s="38">
        <f>+Attachement!F25</f>
        <v>0</v>
      </c>
      <c r="I27" s="31">
        <f t="shared" ref="I27:I28" si="11">H27*F27</f>
        <v>0</v>
      </c>
      <c r="J27" s="265">
        <f>+Attachement!G25</f>
        <v>0</v>
      </c>
      <c r="K27" s="33">
        <f t="shared" si="8"/>
        <v>0</v>
      </c>
      <c r="L27" s="34">
        <f t="shared" si="9"/>
        <v>0</v>
      </c>
      <c r="M27" s="35">
        <f t="shared" si="9"/>
        <v>0</v>
      </c>
      <c r="N27" s="36">
        <f t="shared" si="10"/>
        <v>0</v>
      </c>
      <c r="O27" s="37">
        <f t="shared" ref="O27:O28" si="12">+E27-L27</f>
        <v>200</v>
      </c>
      <c r="P27" s="357">
        <f t="shared" ref="P27:P28" si="13">+G27-M27</f>
        <v>11200000</v>
      </c>
      <c r="R27" s="257"/>
      <c r="T27" s="257"/>
    </row>
    <row r="28" spans="2:20" ht="27.75" thickBot="1" x14ac:dyDescent="0.3">
      <c r="B28" s="190">
        <v>103</v>
      </c>
      <c r="C28" s="92" t="s">
        <v>70</v>
      </c>
      <c r="D28" s="191" t="s">
        <v>24</v>
      </c>
      <c r="E28" s="192">
        <f>+Attachement!E26</f>
        <v>400</v>
      </c>
      <c r="F28" s="193">
        <v>1720</v>
      </c>
      <c r="G28" s="184">
        <f t="shared" si="7"/>
        <v>688000</v>
      </c>
      <c r="H28" s="38">
        <f>+Attachement!F26</f>
        <v>0</v>
      </c>
      <c r="I28" s="31">
        <f t="shared" si="11"/>
        <v>0</v>
      </c>
      <c r="J28" s="265">
        <f>+Attachement!G26</f>
        <v>564.15</v>
      </c>
      <c r="K28" s="33">
        <f t="shared" si="8"/>
        <v>970338</v>
      </c>
      <c r="L28" s="34">
        <f t="shared" si="9"/>
        <v>564.15</v>
      </c>
      <c r="M28" s="35">
        <f t="shared" si="9"/>
        <v>970338</v>
      </c>
      <c r="N28" s="36"/>
      <c r="O28" s="37">
        <f t="shared" si="12"/>
        <v>-164.14999999999998</v>
      </c>
      <c r="P28" s="357">
        <f t="shared" si="13"/>
        <v>-282338</v>
      </c>
      <c r="R28" s="257"/>
      <c r="T28" s="257"/>
    </row>
    <row r="29" spans="2:20" ht="22.9" customHeight="1" thickBot="1" x14ac:dyDescent="0.3">
      <c r="B29" s="39"/>
      <c r="C29" s="40" t="s">
        <v>108</v>
      </c>
      <c r="D29" s="180"/>
      <c r="E29" s="41"/>
      <c r="F29" s="42"/>
      <c r="G29" s="185">
        <f>+SUBTOTAL(9,G25:G28)</f>
        <v>14048000</v>
      </c>
      <c r="H29" s="43"/>
      <c r="I29" s="44">
        <f>+SUBTOTAL(9,I25:I28)</f>
        <v>0</v>
      </c>
      <c r="J29" s="45"/>
      <c r="K29" s="46">
        <f>+SUBTOTAL(9,K25:K28)</f>
        <v>31434401.999999996</v>
      </c>
      <c r="L29" s="47"/>
      <c r="M29" s="44">
        <f>+SUBTOTAL(9,M25:M28)</f>
        <v>31434401.999999996</v>
      </c>
      <c r="N29" s="48">
        <f>+M29/G29</f>
        <v>2.2376425113895215</v>
      </c>
      <c r="O29" s="49"/>
      <c r="P29" s="358">
        <f>+SUBTOTAL(9,P25:P28)</f>
        <v>-17386401.999999996</v>
      </c>
    </row>
    <row r="30" spans="2:20" ht="22.9" customHeight="1" x14ac:dyDescent="0.25">
      <c r="B30" s="50">
        <v>200</v>
      </c>
      <c r="C30" s="17" t="s">
        <v>80</v>
      </c>
      <c r="D30" s="178"/>
      <c r="E30" s="19"/>
      <c r="F30" s="20"/>
      <c r="G30" s="183"/>
      <c r="H30" s="21"/>
      <c r="I30" s="22"/>
      <c r="J30" s="23"/>
      <c r="K30" s="24"/>
      <c r="L30" s="25"/>
      <c r="M30" s="51"/>
      <c r="N30" s="26"/>
      <c r="O30" s="52"/>
      <c r="P30" s="359"/>
    </row>
    <row r="31" spans="2:20" ht="13.5" x14ac:dyDescent="0.25">
      <c r="B31" s="55" t="s">
        <v>16</v>
      </c>
      <c r="C31" s="28" t="s">
        <v>0</v>
      </c>
      <c r="D31" s="179" t="s">
        <v>1</v>
      </c>
      <c r="E31" s="29" t="s">
        <v>2</v>
      </c>
      <c r="F31" s="334"/>
      <c r="G31" s="335"/>
      <c r="H31" s="30"/>
      <c r="I31" s="31"/>
      <c r="J31" s="32"/>
      <c r="K31" s="53"/>
      <c r="L31" s="34"/>
      <c r="M31" s="54"/>
      <c r="N31" s="36"/>
      <c r="O31" s="37"/>
      <c r="P31" s="360"/>
    </row>
    <row r="32" spans="2:20" x14ac:dyDescent="0.25">
      <c r="B32" s="93">
        <v>201</v>
      </c>
      <c r="C32" s="92" t="s">
        <v>72</v>
      </c>
      <c r="D32" s="94" t="s">
        <v>73</v>
      </c>
      <c r="E32" s="181">
        <f>+Attachement!E30</f>
        <v>1500</v>
      </c>
      <c r="F32" s="105">
        <v>2350</v>
      </c>
      <c r="G32" s="184">
        <f t="shared" ref="G32:G37" si="14">+E32*F32</f>
        <v>3525000</v>
      </c>
      <c r="H32" s="38">
        <f>+Attachement!F30</f>
        <v>0</v>
      </c>
      <c r="I32" s="31">
        <f t="shared" ref="I32:I37" si="15">H32*F32</f>
        <v>0</v>
      </c>
      <c r="J32" s="266">
        <f>+Attachement!G30</f>
        <v>2541.4</v>
      </c>
      <c r="K32" s="33">
        <f t="shared" ref="K32:K37" si="16">+J32*F32</f>
        <v>5972290</v>
      </c>
      <c r="L32" s="34">
        <f t="shared" ref="L32:M37" si="17">+J32+H32</f>
        <v>2541.4</v>
      </c>
      <c r="M32" s="35">
        <f t="shared" si="17"/>
        <v>5972290</v>
      </c>
      <c r="N32" s="36">
        <f t="shared" ref="N32:N37" si="18">+M32/G32</f>
        <v>1.6942666666666666</v>
      </c>
      <c r="O32" s="37">
        <f t="shared" ref="O32:O37" si="19">+E32-L32</f>
        <v>-1041.4000000000001</v>
      </c>
      <c r="P32" s="357">
        <f t="shared" ref="P32:P37" si="20">+G32-M32</f>
        <v>-2447290</v>
      </c>
      <c r="R32" s="258"/>
      <c r="T32" s="258"/>
    </row>
    <row r="33" spans="2:20" ht="27" x14ac:dyDescent="0.25">
      <c r="B33" s="93">
        <v>202</v>
      </c>
      <c r="C33" s="92" t="s">
        <v>74</v>
      </c>
      <c r="D33" s="94" t="s">
        <v>73</v>
      </c>
      <c r="E33" s="181">
        <f>+Attachement!E31</f>
        <v>5050</v>
      </c>
      <c r="F33" s="106">
        <v>25000</v>
      </c>
      <c r="G33" s="184">
        <f t="shared" si="14"/>
        <v>126250000</v>
      </c>
      <c r="H33" s="38">
        <f>+Attachement!F31</f>
        <v>0</v>
      </c>
      <c r="I33" s="31">
        <f t="shared" si="15"/>
        <v>0</v>
      </c>
      <c r="J33" s="266">
        <f>+Attachement!G31</f>
        <v>5850</v>
      </c>
      <c r="K33" s="33">
        <f t="shared" si="16"/>
        <v>146250000</v>
      </c>
      <c r="L33" s="34">
        <f t="shared" si="17"/>
        <v>5850</v>
      </c>
      <c r="M33" s="35">
        <f t="shared" si="17"/>
        <v>146250000</v>
      </c>
      <c r="N33" s="36"/>
      <c r="O33" s="200"/>
      <c r="P33" s="357">
        <f t="shared" si="20"/>
        <v>-20000000</v>
      </c>
      <c r="R33" s="258"/>
      <c r="T33" s="258"/>
    </row>
    <row r="34" spans="2:20" ht="27" x14ac:dyDescent="0.25">
      <c r="B34" s="93">
        <v>203</v>
      </c>
      <c r="C34" s="92" t="s">
        <v>75</v>
      </c>
      <c r="D34" s="94" t="s">
        <v>73</v>
      </c>
      <c r="E34" s="181">
        <f>+Attachement!E32</f>
        <v>53000</v>
      </c>
      <c r="F34" s="106">
        <v>25000</v>
      </c>
      <c r="G34" s="184">
        <f t="shared" si="14"/>
        <v>1325000000</v>
      </c>
      <c r="H34" s="38">
        <f>+Attachement!F32</f>
        <v>0</v>
      </c>
      <c r="I34" s="31">
        <f t="shared" si="15"/>
        <v>0</v>
      </c>
      <c r="J34" s="266">
        <f>+Attachement!G32</f>
        <v>5314</v>
      </c>
      <c r="K34" s="33">
        <f t="shared" si="16"/>
        <v>132850000</v>
      </c>
      <c r="L34" s="34">
        <f t="shared" si="17"/>
        <v>5314</v>
      </c>
      <c r="M34" s="35">
        <f t="shared" si="17"/>
        <v>132850000</v>
      </c>
      <c r="N34" s="36">
        <f t="shared" si="18"/>
        <v>0.10026415094339623</v>
      </c>
      <c r="O34" s="37">
        <f t="shared" si="19"/>
        <v>47686</v>
      </c>
      <c r="P34" s="357">
        <f t="shared" si="20"/>
        <v>1192150000</v>
      </c>
      <c r="R34" s="258"/>
      <c r="T34" s="258"/>
    </row>
    <row r="35" spans="2:20" ht="27" x14ac:dyDescent="0.25">
      <c r="B35" s="93">
        <v>204</v>
      </c>
      <c r="C35" s="92" t="s">
        <v>76</v>
      </c>
      <c r="D35" s="94" t="s">
        <v>24</v>
      </c>
      <c r="E35" s="181">
        <f>+Attachement!E33</f>
        <v>45000</v>
      </c>
      <c r="F35" s="106">
        <v>2350</v>
      </c>
      <c r="G35" s="184">
        <f t="shared" si="14"/>
        <v>105750000</v>
      </c>
      <c r="H35" s="38">
        <f>+Attachement!F33</f>
        <v>0</v>
      </c>
      <c r="I35" s="31">
        <f t="shared" si="15"/>
        <v>0</v>
      </c>
      <c r="J35" s="266">
        <f>+Attachement!G33</f>
        <v>0</v>
      </c>
      <c r="K35" s="33">
        <f>+J35*F35</f>
        <v>0</v>
      </c>
      <c r="L35" s="34">
        <f t="shared" si="17"/>
        <v>0</v>
      </c>
      <c r="M35" s="35">
        <f t="shared" si="17"/>
        <v>0</v>
      </c>
      <c r="N35" s="36"/>
      <c r="O35" s="37">
        <f t="shared" si="19"/>
        <v>45000</v>
      </c>
      <c r="P35" s="357">
        <f t="shared" si="20"/>
        <v>105750000</v>
      </c>
      <c r="R35" s="258"/>
      <c r="T35" s="258"/>
    </row>
    <row r="36" spans="2:20" x14ac:dyDescent="0.25">
      <c r="B36" s="93">
        <v>205</v>
      </c>
      <c r="C36" s="92" t="s">
        <v>77</v>
      </c>
      <c r="D36" s="94" t="s">
        <v>78</v>
      </c>
      <c r="E36" s="181">
        <f>+Attachement!E34</f>
        <v>31000</v>
      </c>
      <c r="F36" s="106">
        <v>45900</v>
      </c>
      <c r="G36" s="184">
        <f t="shared" si="14"/>
        <v>1422900000</v>
      </c>
      <c r="H36" s="38">
        <f>+Attachement!F34</f>
        <v>0</v>
      </c>
      <c r="I36" s="31">
        <f t="shared" si="15"/>
        <v>0</v>
      </c>
      <c r="J36" s="266">
        <f>+Attachement!G34</f>
        <v>6675</v>
      </c>
      <c r="K36" s="33">
        <f t="shared" si="16"/>
        <v>306382500</v>
      </c>
      <c r="L36" s="34">
        <f t="shared" si="17"/>
        <v>6675</v>
      </c>
      <c r="M36" s="35">
        <f t="shared" si="17"/>
        <v>306382500</v>
      </c>
      <c r="N36" s="36">
        <f t="shared" si="18"/>
        <v>0.2153225806451613</v>
      </c>
      <c r="O36" s="37">
        <f t="shared" si="19"/>
        <v>24325</v>
      </c>
      <c r="P36" s="357">
        <f t="shared" si="20"/>
        <v>1116517500</v>
      </c>
      <c r="R36" s="258"/>
      <c r="T36" s="258"/>
    </row>
    <row r="37" spans="2:20" ht="27.75" thickBot="1" x14ac:dyDescent="0.3">
      <c r="B37" s="93">
        <v>206</v>
      </c>
      <c r="C37" s="92" t="s">
        <v>79</v>
      </c>
      <c r="D37" s="95" t="s">
        <v>24</v>
      </c>
      <c r="E37" s="181">
        <f>+Attachement!E35</f>
        <v>10200</v>
      </c>
      <c r="F37" s="106">
        <v>40000</v>
      </c>
      <c r="G37" s="184">
        <f t="shared" si="14"/>
        <v>408000000</v>
      </c>
      <c r="H37" s="38">
        <f>+Attachement!F35</f>
        <v>0</v>
      </c>
      <c r="I37" s="31">
        <f t="shared" si="15"/>
        <v>0</v>
      </c>
      <c r="J37" s="266">
        <f>+Attachement!G35</f>
        <v>0</v>
      </c>
      <c r="K37" s="33">
        <f t="shared" si="16"/>
        <v>0</v>
      </c>
      <c r="L37" s="34">
        <f t="shared" si="17"/>
        <v>0</v>
      </c>
      <c r="M37" s="35">
        <f t="shared" si="17"/>
        <v>0</v>
      </c>
      <c r="N37" s="36">
        <f t="shared" si="18"/>
        <v>0</v>
      </c>
      <c r="O37" s="37">
        <f t="shared" si="19"/>
        <v>10200</v>
      </c>
      <c r="P37" s="357">
        <f t="shared" si="20"/>
        <v>408000000</v>
      </c>
      <c r="R37" s="258"/>
      <c r="T37" s="258"/>
    </row>
    <row r="38" spans="2:20" ht="18.75" customHeight="1" thickBot="1" x14ac:dyDescent="0.3">
      <c r="B38" s="39"/>
      <c r="C38" s="40" t="s">
        <v>109</v>
      </c>
      <c r="D38" s="180"/>
      <c r="E38" s="41"/>
      <c r="F38" s="42"/>
      <c r="G38" s="185">
        <f>+SUBTOTAL(9,G31:G37)</f>
        <v>3391425000</v>
      </c>
      <c r="H38" s="43"/>
      <c r="I38" s="44">
        <f>+SUBTOTAL(9,I31:I37)</f>
        <v>0</v>
      </c>
      <c r="J38" s="45"/>
      <c r="K38" s="46">
        <f>+SUBTOTAL(9,K31:K37)</f>
        <v>591454790</v>
      </c>
      <c r="L38" s="47"/>
      <c r="M38" s="44">
        <f>+SUBTOTAL(9,M31:M37)</f>
        <v>591454790</v>
      </c>
      <c r="N38" s="48">
        <f>+M38/G38</f>
        <v>0.1743971309995061</v>
      </c>
      <c r="O38" s="49"/>
      <c r="P38" s="358">
        <f>+SUBTOTAL(9,P31:P37)</f>
        <v>2799970210</v>
      </c>
    </row>
    <row r="39" spans="2:20" ht="22.9" customHeight="1" x14ac:dyDescent="0.25">
      <c r="B39" s="50">
        <v>300</v>
      </c>
      <c r="C39" s="17" t="s">
        <v>27</v>
      </c>
      <c r="D39" s="178"/>
      <c r="E39" s="19"/>
      <c r="F39" s="20"/>
      <c r="G39" s="183"/>
      <c r="H39" s="21"/>
      <c r="I39" s="22"/>
      <c r="J39" s="23"/>
      <c r="K39" s="24"/>
      <c r="L39" s="25"/>
      <c r="M39" s="51"/>
      <c r="N39" s="26"/>
      <c r="O39" s="52"/>
      <c r="P39" s="359"/>
    </row>
    <row r="40" spans="2:20" ht="13.5" x14ac:dyDescent="0.25">
      <c r="B40" s="55" t="s">
        <v>16</v>
      </c>
      <c r="C40" s="28" t="s">
        <v>0</v>
      </c>
      <c r="D40" s="179" t="s">
        <v>1</v>
      </c>
      <c r="E40" s="29" t="s">
        <v>2</v>
      </c>
      <c r="F40" s="334"/>
      <c r="G40" s="335"/>
      <c r="H40" s="30"/>
      <c r="I40" s="31"/>
      <c r="J40" s="32"/>
      <c r="K40" s="53"/>
      <c r="L40" s="34"/>
      <c r="M40" s="54"/>
      <c r="N40" s="36"/>
      <c r="O40" s="37"/>
      <c r="P40" s="360"/>
    </row>
    <row r="41" spans="2:20" ht="40.5" x14ac:dyDescent="0.25">
      <c r="B41" s="91">
        <v>301</v>
      </c>
      <c r="C41" s="92" t="s">
        <v>81</v>
      </c>
      <c r="D41" s="94" t="s">
        <v>73</v>
      </c>
      <c r="E41" s="181">
        <f>+Attachement!E39</f>
        <v>17000</v>
      </c>
      <c r="F41" s="106">
        <v>35000</v>
      </c>
      <c r="G41" s="184">
        <f t="shared" ref="G41:G47" si="21">+E41*F41</f>
        <v>595000000</v>
      </c>
      <c r="H41" s="38">
        <f>+Attachement!F39</f>
        <v>0</v>
      </c>
      <c r="I41" s="31">
        <f t="shared" ref="I41:I47" si="22">H41*F41</f>
        <v>0</v>
      </c>
      <c r="J41" s="265">
        <f>+Attachement!G39</f>
        <v>0</v>
      </c>
      <c r="K41" s="33">
        <f t="shared" ref="K41:K47" si="23">+J41*F41</f>
        <v>0</v>
      </c>
      <c r="L41" s="34">
        <f t="shared" ref="L41:M47" si="24">+J41+H41</f>
        <v>0</v>
      </c>
      <c r="M41" s="35">
        <f t="shared" si="24"/>
        <v>0</v>
      </c>
      <c r="N41" s="36">
        <f t="shared" ref="N41:N47" si="25">+M41/G41</f>
        <v>0</v>
      </c>
      <c r="O41" s="37">
        <f t="shared" ref="O41:O47" si="26">+E41-L41</f>
        <v>17000</v>
      </c>
      <c r="P41" s="357">
        <f t="shared" ref="P41:P47" si="27">+G41-M41</f>
        <v>595000000</v>
      </c>
      <c r="R41" s="259"/>
      <c r="T41" s="258"/>
    </row>
    <row r="42" spans="2:20" ht="40.5" x14ac:dyDescent="0.25">
      <c r="B42" s="91">
        <v>302</v>
      </c>
      <c r="C42" s="92" t="s">
        <v>82</v>
      </c>
      <c r="D42" s="94" t="s">
        <v>73</v>
      </c>
      <c r="E42" s="181">
        <f>+Attachement!E40</f>
        <v>5200</v>
      </c>
      <c r="F42" s="106">
        <v>72000</v>
      </c>
      <c r="G42" s="184">
        <f t="shared" si="21"/>
        <v>374400000</v>
      </c>
      <c r="H42" s="38">
        <f>+Attachement!F40</f>
        <v>0</v>
      </c>
      <c r="I42" s="31">
        <f t="shared" si="22"/>
        <v>0</v>
      </c>
      <c r="J42" s="265">
        <f>+Attachement!G40</f>
        <v>0</v>
      </c>
      <c r="K42" s="33">
        <f t="shared" si="23"/>
        <v>0</v>
      </c>
      <c r="L42" s="34">
        <f t="shared" si="24"/>
        <v>0</v>
      </c>
      <c r="M42" s="35">
        <f t="shared" si="24"/>
        <v>0</v>
      </c>
      <c r="N42" s="36">
        <f t="shared" si="25"/>
        <v>0</v>
      </c>
      <c r="O42" s="37">
        <f t="shared" si="26"/>
        <v>5200</v>
      </c>
      <c r="P42" s="357">
        <f t="shared" si="27"/>
        <v>374400000</v>
      </c>
    </row>
    <row r="43" spans="2:20" ht="40.5" x14ac:dyDescent="0.25">
      <c r="B43" s="91">
        <v>303</v>
      </c>
      <c r="C43" s="92" t="s">
        <v>83</v>
      </c>
      <c r="D43" s="95" t="s">
        <v>73</v>
      </c>
      <c r="E43" s="181">
        <f>+Attachement!E41</f>
        <v>1020</v>
      </c>
      <c r="F43" s="106">
        <v>250000</v>
      </c>
      <c r="G43" s="184">
        <f t="shared" si="21"/>
        <v>255000000</v>
      </c>
      <c r="H43" s="38">
        <f>+Attachement!F41</f>
        <v>0</v>
      </c>
      <c r="I43" s="31">
        <f t="shared" si="22"/>
        <v>0</v>
      </c>
      <c r="J43" s="265">
        <f>+Attachement!G41</f>
        <v>0</v>
      </c>
      <c r="K43" s="33">
        <f t="shared" si="23"/>
        <v>0</v>
      </c>
      <c r="L43" s="34">
        <f t="shared" si="24"/>
        <v>0</v>
      </c>
      <c r="M43" s="35">
        <f t="shared" si="24"/>
        <v>0</v>
      </c>
      <c r="N43" s="36">
        <f t="shared" si="25"/>
        <v>0</v>
      </c>
      <c r="O43" s="37">
        <f t="shared" si="26"/>
        <v>1020</v>
      </c>
      <c r="P43" s="357">
        <f t="shared" si="27"/>
        <v>255000000</v>
      </c>
    </row>
    <row r="44" spans="2:20" x14ac:dyDescent="0.25">
      <c r="B44" s="91">
        <v>304</v>
      </c>
      <c r="C44" s="92" t="s">
        <v>84</v>
      </c>
      <c r="D44" s="94" t="s">
        <v>73</v>
      </c>
      <c r="E44" s="181">
        <f>+Attachement!E42</f>
        <v>1300</v>
      </c>
      <c r="F44" s="106">
        <v>441000</v>
      </c>
      <c r="G44" s="184">
        <f t="shared" ref="G44:G45" si="28">+E44*F44</f>
        <v>573300000</v>
      </c>
      <c r="H44" s="38">
        <f>+Attachement!F42</f>
        <v>0</v>
      </c>
      <c r="I44" s="31">
        <f t="shared" ref="I44:I45" si="29">H44*F44</f>
        <v>0</v>
      </c>
      <c r="J44" s="265">
        <f>+Attachement!G42</f>
        <v>0</v>
      </c>
      <c r="K44" s="33">
        <f t="shared" ref="K44:K45" si="30">+J44*F44</f>
        <v>0</v>
      </c>
      <c r="L44" s="34">
        <f t="shared" ref="L44:L45" si="31">+J44+H44</f>
        <v>0</v>
      </c>
      <c r="M44" s="35">
        <f t="shared" ref="M44:M45" si="32">+K44+I44</f>
        <v>0</v>
      </c>
      <c r="N44" s="36">
        <f t="shared" ref="N44:N45" si="33">+M44/G44</f>
        <v>0</v>
      </c>
      <c r="O44" s="37">
        <f t="shared" ref="O44:O45" si="34">+E44-L44</f>
        <v>1300</v>
      </c>
      <c r="P44" s="357">
        <f t="shared" ref="P44:P45" si="35">+G44-M44</f>
        <v>573300000</v>
      </c>
      <c r="R44" s="259"/>
      <c r="T44" s="258"/>
    </row>
    <row r="45" spans="2:20" x14ac:dyDescent="0.25">
      <c r="B45" s="91">
        <v>305</v>
      </c>
      <c r="C45" s="92" t="s">
        <v>85</v>
      </c>
      <c r="D45" s="94" t="s">
        <v>24</v>
      </c>
      <c r="E45" s="181">
        <f>+Attachement!E43</f>
        <v>20000</v>
      </c>
      <c r="F45" s="106">
        <v>8500</v>
      </c>
      <c r="G45" s="184">
        <f t="shared" si="28"/>
        <v>170000000</v>
      </c>
      <c r="H45" s="38">
        <f>+Attachement!F43</f>
        <v>0</v>
      </c>
      <c r="I45" s="31">
        <f t="shared" si="29"/>
        <v>0</v>
      </c>
      <c r="J45" s="265">
        <f>+Attachement!G43</f>
        <v>0</v>
      </c>
      <c r="K45" s="33">
        <f t="shared" si="30"/>
        <v>0</v>
      </c>
      <c r="L45" s="34">
        <f t="shared" si="31"/>
        <v>0</v>
      </c>
      <c r="M45" s="35">
        <f t="shared" si="32"/>
        <v>0</v>
      </c>
      <c r="N45" s="36">
        <f t="shared" si="33"/>
        <v>0</v>
      </c>
      <c r="O45" s="37">
        <f t="shared" si="34"/>
        <v>20000</v>
      </c>
      <c r="P45" s="357">
        <f t="shared" si="35"/>
        <v>170000000</v>
      </c>
    </row>
    <row r="46" spans="2:20" x14ac:dyDescent="0.25">
      <c r="B46" s="91">
        <v>307</v>
      </c>
      <c r="C46" s="92" t="s">
        <v>86</v>
      </c>
      <c r="D46" s="94" t="s">
        <v>73</v>
      </c>
      <c r="E46" s="181">
        <f>+Attachement!E44</f>
        <v>210</v>
      </c>
      <c r="F46" s="106">
        <v>441000</v>
      </c>
      <c r="G46" s="184">
        <f t="shared" si="21"/>
        <v>92610000</v>
      </c>
      <c r="H46" s="38">
        <f>+Attachement!F44</f>
        <v>0</v>
      </c>
      <c r="I46" s="31">
        <f t="shared" si="22"/>
        <v>0</v>
      </c>
      <c r="J46" s="265">
        <f>+Attachement!G44</f>
        <v>0</v>
      </c>
      <c r="K46" s="33">
        <f t="shared" si="23"/>
        <v>0</v>
      </c>
      <c r="L46" s="34">
        <f t="shared" si="24"/>
        <v>0</v>
      </c>
      <c r="M46" s="35">
        <f t="shared" si="24"/>
        <v>0</v>
      </c>
      <c r="N46" s="36">
        <f t="shared" si="25"/>
        <v>0</v>
      </c>
      <c r="O46" s="37">
        <f t="shared" si="26"/>
        <v>210</v>
      </c>
      <c r="P46" s="357">
        <f t="shared" si="27"/>
        <v>92610000</v>
      </c>
    </row>
    <row r="47" spans="2:20" ht="27.75" thickBot="1" x14ac:dyDescent="0.3">
      <c r="B47" s="91">
        <v>305</v>
      </c>
      <c r="C47" s="92" t="s">
        <v>87</v>
      </c>
      <c r="D47" s="94" t="s">
        <v>24</v>
      </c>
      <c r="E47" s="181">
        <f>+Attachement!E45</f>
        <v>900</v>
      </c>
      <c r="F47" s="105">
        <v>11000</v>
      </c>
      <c r="G47" s="184">
        <f t="shared" si="21"/>
        <v>9900000</v>
      </c>
      <c r="H47" s="38">
        <f>+Attachement!F45</f>
        <v>0</v>
      </c>
      <c r="I47" s="31">
        <f t="shared" si="22"/>
        <v>0</v>
      </c>
      <c r="J47" s="265">
        <f>+Attachement!G45</f>
        <v>0</v>
      </c>
      <c r="K47" s="33">
        <f t="shared" si="23"/>
        <v>0</v>
      </c>
      <c r="L47" s="34">
        <f t="shared" si="24"/>
        <v>0</v>
      </c>
      <c r="M47" s="35">
        <f t="shared" si="24"/>
        <v>0</v>
      </c>
      <c r="N47" s="36">
        <f t="shared" si="25"/>
        <v>0</v>
      </c>
      <c r="O47" s="37">
        <f t="shared" si="26"/>
        <v>900</v>
      </c>
      <c r="P47" s="357">
        <f t="shared" si="27"/>
        <v>9900000</v>
      </c>
    </row>
    <row r="48" spans="2:20" ht="18.75" customHeight="1" thickBot="1" x14ac:dyDescent="0.3">
      <c r="B48" s="39"/>
      <c r="C48" s="40" t="s">
        <v>110</v>
      </c>
      <c r="D48" s="180"/>
      <c r="E48" s="41"/>
      <c r="F48" s="42"/>
      <c r="G48" s="185">
        <f>+SUBTOTAL(9,G40:G47)</f>
        <v>2070210000</v>
      </c>
      <c r="H48" s="43"/>
      <c r="I48" s="44">
        <f>+SUBTOTAL(9,I40:I47)</f>
        <v>0</v>
      </c>
      <c r="J48" s="45"/>
      <c r="K48" s="46">
        <f>+SUBTOTAL(9,K40:K47)</f>
        <v>0</v>
      </c>
      <c r="L48" s="47"/>
      <c r="M48" s="44">
        <f>+SUBTOTAL(9,M40:M47)</f>
        <v>0</v>
      </c>
      <c r="N48" s="48">
        <f>+M48/G48</f>
        <v>0</v>
      </c>
      <c r="O48" s="49"/>
      <c r="P48" s="358">
        <f>+SUBTOTAL(9,P40:P47)</f>
        <v>2070210000</v>
      </c>
    </row>
    <row r="49" spans="2:16" ht="22.9" customHeight="1" x14ac:dyDescent="0.25">
      <c r="B49" s="50">
        <v>400</v>
      </c>
      <c r="C49" s="17" t="s">
        <v>47</v>
      </c>
      <c r="D49" s="178"/>
      <c r="E49" s="19"/>
      <c r="F49" s="20"/>
      <c r="G49" s="183"/>
      <c r="H49" s="21"/>
      <c r="I49" s="22"/>
      <c r="J49" s="23"/>
      <c r="K49" s="24"/>
      <c r="L49" s="25"/>
      <c r="M49" s="51"/>
      <c r="N49" s="26"/>
      <c r="O49" s="52"/>
      <c r="P49" s="359"/>
    </row>
    <row r="50" spans="2:16" ht="13.5" x14ac:dyDescent="0.25">
      <c r="B50" s="55" t="s">
        <v>16</v>
      </c>
      <c r="C50" s="28" t="s">
        <v>0</v>
      </c>
      <c r="D50" s="179" t="s">
        <v>1</v>
      </c>
      <c r="E50" s="29" t="s">
        <v>2</v>
      </c>
      <c r="F50" s="334"/>
      <c r="G50" s="335"/>
      <c r="H50" s="30"/>
      <c r="I50" s="31"/>
      <c r="J50" s="32"/>
      <c r="K50" s="53"/>
      <c r="L50" s="34"/>
      <c r="M50" s="54"/>
      <c r="N50" s="36"/>
      <c r="O50" s="37"/>
      <c r="P50" s="360"/>
    </row>
    <row r="51" spans="2:16" ht="13.5" x14ac:dyDescent="0.25">
      <c r="B51" s="93">
        <v>401</v>
      </c>
      <c r="C51" s="92" t="s">
        <v>88</v>
      </c>
      <c r="D51" s="187" t="s">
        <v>26</v>
      </c>
      <c r="E51" s="188">
        <f>+Attachement!E49</f>
        <v>9000</v>
      </c>
      <c r="F51" s="189">
        <v>30000</v>
      </c>
      <c r="G51" s="186">
        <f t="shared" ref="G51:G61" si="36">+E51*F51</f>
        <v>270000000</v>
      </c>
      <c r="H51" s="38">
        <f>+Attachement!F49</f>
        <v>0</v>
      </c>
      <c r="I51" s="31">
        <f t="shared" ref="I51:I61" si="37">H51*F51</f>
        <v>0</v>
      </c>
      <c r="J51" s="264">
        <f>+Attachement!G49</f>
        <v>0</v>
      </c>
      <c r="K51" s="33">
        <f t="shared" ref="K51:K61" si="38">+J51*F51</f>
        <v>0</v>
      </c>
      <c r="L51" s="34">
        <f t="shared" ref="L51:M70" si="39">+J51+H51</f>
        <v>0</v>
      </c>
      <c r="M51" s="35">
        <f t="shared" si="39"/>
        <v>0</v>
      </c>
      <c r="N51" s="36">
        <f t="shared" ref="N51:N70" si="40">+M51/G51</f>
        <v>0</v>
      </c>
      <c r="O51" s="37">
        <f t="shared" ref="O51:O70" si="41">+E51-L51</f>
        <v>9000</v>
      </c>
      <c r="P51" s="357">
        <f t="shared" ref="P51:P61" si="42">+G51-M51</f>
        <v>270000000</v>
      </c>
    </row>
    <row r="52" spans="2:16" ht="13.5" x14ac:dyDescent="0.25">
      <c r="B52" s="93">
        <v>403</v>
      </c>
      <c r="C52" s="92" t="s">
        <v>89</v>
      </c>
      <c r="D52" s="187" t="s">
        <v>26</v>
      </c>
      <c r="E52" s="188">
        <f>+Attachement!E50</f>
        <v>1800</v>
      </c>
      <c r="F52" s="189">
        <v>30000</v>
      </c>
      <c r="G52" s="186">
        <f t="shared" si="36"/>
        <v>54000000</v>
      </c>
      <c r="H52" s="38">
        <f>+Attachement!F50</f>
        <v>0</v>
      </c>
      <c r="I52" s="31">
        <f t="shared" si="37"/>
        <v>0</v>
      </c>
      <c r="J52" s="264">
        <f>+Attachement!G50</f>
        <v>0</v>
      </c>
      <c r="K52" s="33">
        <f t="shared" si="38"/>
        <v>0</v>
      </c>
      <c r="L52" s="34">
        <f t="shared" si="39"/>
        <v>0</v>
      </c>
      <c r="M52" s="35">
        <f t="shared" si="39"/>
        <v>0</v>
      </c>
      <c r="N52" s="36">
        <f t="shared" si="40"/>
        <v>0</v>
      </c>
      <c r="O52" s="37">
        <f t="shared" si="41"/>
        <v>1800</v>
      </c>
      <c r="P52" s="357">
        <f t="shared" si="42"/>
        <v>54000000</v>
      </c>
    </row>
    <row r="53" spans="2:16" ht="13.5" x14ac:dyDescent="0.25">
      <c r="B53" s="93">
        <v>404</v>
      </c>
      <c r="C53" s="92" t="s">
        <v>90</v>
      </c>
      <c r="D53" s="187" t="s">
        <v>26</v>
      </c>
      <c r="E53" s="188">
        <f>+Attachement!E51</f>
        <v>3500</v>
      </c>
      <c r="F53" s="189">
        <v>110000</v>
      </c>
      <c r="G53" s="186">
        <f t="shared" si="36"/>
        <v>385000000</v>
      </c>
      <c r="H53" s="38">
        <f>+Attachement!F51</f>
        <v>0</v>
      </c>
      <c r="I53" s="31">
        <f t="shared" si="37"/>
        <v>0</v>
      </c>
      <c r="J53" s="264">
        <f>+Attachement!G51</f>
        <v>0</v>
      </c>
      <c r="K53" s="33">
        <f t="shared" si="38"/>
        <v>0</v>
      </c>
      <c r="L53" s="34">
        <f t="shared" si="39"/>
        <v>0</v>
      </c>
      <c r="M53" s="35">
        <f t="shared" si="39"/>
        <v>0</v>
      </c>
      <c r="N53" s="36">
        <f t="shared" si="40"/>
        <v>0</v>
      </c>
      <c r="O53" s="37">
        <f t="shared" si="41"/>
        <v>3500</v>
      </c>
      <c r="P53" s="357">
        <f t="shared" si="42"/>
        <v>385000000</v>
      </c>
    </row>
    <row r="54" spans="2:16" ht="27" x14ac:dyDescent="0.25">
      <c r="B54" s="93">
        <v>405</v>
      </c>
      <c r="C54" s="92" t="s">
        <v>91</v>
      </c>
      <c r="D54" s="187" t="s">
        <v>26</v>
      </c>
      <c r="E54" s="188">
        <f>+Attachement!E52</f>
        <v>1800</v>
      </c>
      <c r="F54" s="189">
        <v>30000</v>
      </c>
      <c r="G54" s="186">
        <f t="shared" si="36"/>
        <v>54000000</v>
      </c>
      <c r="H54" s="38">
        <f>+Attachement!F52</f>
        <v>0</v>
      </c>
      <c r="I54" s="31">
        <f t="shared" si="37"/>
        <v>0</v>
      </c>
      <c r="J54" s="264">
        <f>+Attachement!G52</f>
        <v>0</v>
      </c>
      <c r="K54" s="33">
        <f t="shared" si="38"/>
        <v>0</v>
      </c>
      <c r="L54" s="34">
        <f t="shared" si="39"/>
        <v>0</v>
      </c>
      <c r="M54" s="35">
        <f t="shared" si="39"/>
        <v>0</v>
      </c>
      <c r="N54" s="36">
        <f t="shared" si="40"/>
        <v>0</v>
      </c>
      <c r="O54" s="37">
        <f t="shared" si="41"/>
        <v>1800</v>
      </c>
      <c r="P54" s="357">
        <f t="shared" si="42"/>
        <v>54000000</v>
      </c>
    </row>
    <row r="55" spans="2:16" ht="13.5" x14ac:dyDescent="0.25">
      <c r="B55" s="93">
        <v>406</v>
      </c>
      <c r="C55" s="92" t="s">
        <v>92</v>
      </c>
      <c r="D55" s="187" t="s">
        <v>26</v>
      </c>
      <c r="E55" s="188">
        <f>+Attachement!E53</f>
        <v>0</v>
      </c>
      <c r="F55" s="189">
        <v>45000</v>
      </c>
      <c r="G55" s="186">
        <f>+E55*F55</f>
        <v>0</v>
      </c>
      <c r="H55" s="38">
        <f>+Attachement!F53</f>
        <v>0</v>
      </c>
      <c r="I55" s="31">
        <f t="shared" si="37"/>
        <v>0</v>
      </c>
      <c r="J55" s="264">
        <f>+Attachement!G53</f>
        <v>0</v>
      </c>
      <c r="K55" s="33">
        <f t="shared" si="38"/>
        <v>0</v>
      </c>
      <c r="L55" s="34">
        <f t="shared" si="39"/>
        <v>0</v>
      </c>
      <c r="M55" s="35">
        <f t="shared" si="39"/>
        <v>0</v>
      </c>
      <c r="N55" s="36"/>
      <c r="O55" s="37">
        <f t="shared" si="41"/>
        <v>0</v>
      </c>
      <c r="P55" s="357">
        <f t="shared" si="42"/>
        <v>0</v>
      </c>
    </row>
    <row r="56" spans="2:16" ht="13.5" x14ac:dyDescent="0.25">
      <c r="B56" s="93">
        <v>407</v>
      </c>
      <c r="C56" s="92" t="s">
        <v>93</v>
      </c>
      <c r="D56" s="187" t="s">
        <v>48</v>
      </c>
      <c r="E56" s="188">
        <f>+Attachement!E54</f>
        <v>0</v>
      </c>
      <c r="F56" s="189">
        <v>175000</v>
      </c>
      <c r="G56" s="186">
        <f t="shared" si="36"/>
        <v>0</v>
      </c>
      <c r="H56" s="38">
        <f>+Attachement!F54</f>
        <v>0</v>
      </c>
      <c r="I56" s="31">
        <f t="shared" si="37"/>
        <v>0</v>
      </c>
      <c r="J56" s="264">
        <f>+Attachement!G54</f>
        <v>0</v>
      </c>
      <c r="K56" s="33">
        <f t="shared" si="38"/>
        <v>0</v>
      </c>
      <c r="L56" s="34">
        <f t="shared" si="39"/>
        <v>0</v>
      </c>
      <c r="M56" s="35">
        <f t="shared" si="39"/>
        <v>0</v>
      </c>
      <c r="N56" s="36"/>
      <c r="O56" s="37">
        <f t="shared" si="41"/>
        <v>0</v>
      </c>
      <c r="P56" s="357">
        <f t="shared" si="42"/>
        <v>0</v>
      </c>
    </row>
    <row r="57" spans="2:16" ht="13.5" x14ac:dyDescent="0.25">
      <c r="B57" s="93">
        <v>408</v>
      </c>
      <c r="C57" s="92" t="s">
        <v>94</v>
      </c>
      <c r="D57" s="187" t="s">
        <v>48</v>
      </c>
      <c r="E57" s="188">
        <f>+Attachement!E55</f>
        <v>0</v>
      </c>
      <c r="F57" s="189">
        <v>30000</v>
      </c>
      <c r="G57" s="186">
        <f t="shared" ref="G57:G60" si="43">+E57*F57</f>
        <v>0</v>
      </c>
      <c r="H57" s="38">
        <f>+Attachement!F55</f>
        <v>0</v>
      </c>
      <c r="I57" s="31">
        <f t="shared" ref="I57:I60" si="44">H57*F57</f>
        <v>0</v>
      </c>
      <c r="J57" s="264">
        <f>+Attachement!G55</f>
        <v>0</v>
      </c>
      <c r="K57" s="33">
        <f t="shared" ref="K57:K60" si="45">+J57*F57</f>
        <v>0</v>
      </c>
      <c r="L57" s="34">
        <f t="shared" ref="L57:L60" si="46">+J57+H57</f>
        <v>0</v>
      </c>
      <c r="M57" s="35">
        <f t="shared" ref="M57:M60" si="47">+K57+I57</f>
        <v>0</v>
      </c>
      <c r="N57" s="36"/>
      <c r="O57" s="37">
        <f t="shared" ref="O57:O60" si="48">+E57-L57</f>
        <v>0</v>
      </c>
      <c r="P57" s="357">
        <f t="shared" ref="P57:P60" si="49">+G57-M57</f>
        <v>0</v>
      </c>
    </row>
    <row r="58" spans="2:16" ht="27" x14ac:dyDescent="0.25">
      <c r="B58" s="93">
        <v>409</v>
      </c>
      <c r="C58" s="92" t="s">
        <v>95</v>
      </c>
      <c r="D58" s="187" t="s">
        <v>73</v>
      </c>
      <c r="E58" s="188">
        <f>+Attachement!E56</f>
        <v>0</v>
      </c>
      <c r="F58" s="189">
        <v>498000</v>
      </c>
      <c r="G58" s="186">
        <f t="shared" si="43"/>
        <v>0</v>
      </c>
      <c r="H58" s="38">
        <f>+Attachement!F56</f>
        <v>0</v>
      </c>
      <c r="I58" s="31">
        <f t="shared" si="44"/>
        <v>0</v>
      </c>
      <c r="J58" s="264">
        <f>+Attachement!G56</f>
        <v>0</v>
      </c>
      <c r="K58" s="33">
        <f t="shared" si="45"/>
        <v>0</v>
      </c>
      <c r="L58" s="34">
        <f t="shared" si="46"/>
        <v>0</v>
      </c>
      <c r="M58" s="35">
        <f t="shared" si="47"/>
        <v>0</v>
      </c>
      <c r="N58" s="36"/>
      <c r="O58" s="37">
        <f t="shared" si="48"/>
        <v>0</v>
      </c>
      <c r="P58" s="357">
        <f t="shared" si="49"/>
        <v>0</v>
      </c>
    </row>
    <row r="59" spans="2:16" ht="13.5" x14ac:dyDescent="0.25">
      <c r="B59" s="93">
        <v>410</v>
      </c>
      <c r="C59" s="92" t="s">
        <v>96</v>
      </c>
      <c r="D59" s="187" t="s">
        <v>26</v>
      </c>
      <c r="E59" s="188">
        <f>+Attachement!E57</f>
        <v>180</v>
      </c>
      <c r="F59" s="189">
        <v>1200000</v>
      </c>
      <c r="G59" s="186">
        <f t="shared" si="43"/>
        <v>216000000</v>
      </c>
      <c r="H59" s="38">
        <f>+Attachement!F57</f>
        <v>0</v>
      </c>
      <c r="I59" s="31">
        <f t="shared" si="44"/>
        <v>0</v>
      </c>
      <c r="J59" s="264">
        <f>+Attachement!G57</f>
        <v>0</v>
      </c>
      <c r="K59" s="33">
        <f t="shared" si="45"/>
        <v>0</v>
      </c>
      <c r="L59" s="34">
        <f t="shared" si="46"/>
        <v>0</v>
      </c>
      <c r="M59" s="35">
        <f t="shared" si="47"/>
        <v>0</v>
      </c>
      <c r="N59" s="36">
        <f t="shared" ref="N59:N60" si="50">+M59/G59</f>
        <v>0</v>
      </c>
      <c r="O59" s="37">
        <f t="shared" si="48"/>
        <v>180</v>
      </c>
      <c r="P59" s="357">
        <f t="shared" si="49"/>
        <v>216000000</v>
      </c>
    </row>
    <row r="60" spans="2:16" ht="13.5" x14ac:dyDescent="0.25">
      <c r="B60" s="93">
        <v>411</v>
      </c>
      <c r="C60" s="92" t="s">
        <v>97</v>
      </c>
      <c r="D60" s="187" t="s">
        <v>25</v>
      </c>
      <c r="E60" s="188">
        <f>+Attachement!E58</f>
        <v>8</v>
      </c>
      <c r="F60" s="189">
        <v>1800000</v>
      </c>
      <c r="G60" s="186">
        <f t="shared" si="43"/>
        <v>14400000</v>
      </c>
      <c r="H60" s="38">
        <f>+Attachement!F58</f>
        <v>0</v>
      </c>
      <c r="I60" s="31">
        <f t="shared" si="44"/>
        <v>0</v>
      </c>
      <c r="J60" s="264">
        <f>+Attachement!G58</f>
        <v>0</v>
      </c>
      <c r="K60" s="33">
        <f t="shared" si="45"/>
        <v>0</v>
      </c>
      <c r="L60" s="34">
        <f t="shared" si="46"/>
        <v>0</v>
      </c>
      <c r="M60" s="35">
        <f t="shared" si="47"/>
        <v>0</v>
      </c>
      <c r="N60" s="36">
        <f t="shared" si="50"/>
        <v>0</v>
      </c>
      <c r="O60" s="37">
        <f t="shared" si="48"/>
        <v>8</v>
      </c>
      <c r="P60" s="357">
        <f t="shared" si="49"/>
        <v>14400000</v>
      </c>
    </row>
    <row r="61" spans="2:16" ht="27.75" thickBot="1" x14ac:dyDescent="0.3">
      <c r="B61" s="93">
        <v>412</v>
      </c>
      <c r="C61" s="92" t="s">
        <v>98</v>
      </c>
      <c r="D61" s="187" t="s">
        <v>25</v>
      </c>
      <c r="E61" s="188">
        <f>+Attachement!E59</f>
        <v>18</v>
      </c>
      <c r="F61" s="189">
        <v>175000</v>
      </c>
      <c r="G61" s="186">
        <f t="shared" si="36"/>
        <v>3150000</v>
      </c>
      <c r="H61" s="38">
        <f>+Attachement!F59</f>
        <v>0</v>
      </c>
      <c r="I61" s="31">
        <f t="shared" si="37"/>
        <v>0</v>
      </c>
      <c r="J61" s="264">
        <f>+Attachement!G59</f>
        <v>0</v>
      </c>
      <c r="K61" s="33">
        <f t="shared" si="38"/>
        <v>0</v>
      </c>
      <c r="L61" s="34">
        <f t="shared" si="39"/>
        <v>0</v>
      </c>
      <c r="M61" s="35">
        <f t="shared" si="39"/>
        <v>0</v>
      </c>
      <c r="N61" s="36">
        <f t="shared" si="40"/>
        <v>0</v>
      </c>
      <c r="O61" s="37">
        <f t="shared" si="41"/>
        <v>18</v>
      </c>
      <c r="P61" s="357">
        <f t="shared" si="42"/>
        <v>3150000</v>
      </c>
    </row>
    <row r="62" spans="2:16" ht="17.25" thickBot="1" x14ac:dyDescent="0.3">
      <c r="B62" s="39"/>
      <c r="C62" s="40" t="s">
        <v>111</v>
      </c>
      <c r="D62" s="180"/>
      <c r="E62" s="41"/>
      <c r="F62" s="42"/>
      <c r="G62" s="185">
        <f>+SUBTOTAL(9,G51:G61)</f>
        <v>996550000</v>
      </c>
      <c r="H62" s="43"/>
      <c r="I62" s="44">
        <f>+SUBTOTAL(9,I51:I61)</f>
        <v>0</v>
      </c>
      <c r="J62" s="45"/>
      <c r="K62" s="46">
        <f>+SUBTOTAL(9,K51:K61)</f>
        <v>0</v>
      </c>
      <c r="L62" s="47"/>
      <c r="M62" s="44">
        <f>+SUBTOTAL(9,M51:M61)</f>
        <v>0</v>
      </c>
      <c r="N62" s="48">
        <f>+M62/G62</f>
        <v>0</v>
      </c>
      <c r="O62" s="49"/>
      <c r="P62" s="358">
        <f>+SUBTOTAL(9,P51:P61)</f>
        <v>996550000</v>
      </c>
    </row>
    <row r="63" spans="2:16" ht="23.1" customHeight="1" x14ac:dyDescent="0.25">
      <c r="B63" s="50">
        <v>500</v>
      </c>
      <c r="C63" s="17" t="s">
        <v>102</v>
      </c>
      <c r="D63" s="178"/>
      <c r="E63" s="19"/>
      <c r="F63" s="20"/>
      <c r="G63" s="183"/>
      <c r="H63" s="21"/>
      <c r="I63" s="22"/>
      <c r="J63" s="23"/>
      <c r="K63" s="24"/>
      <c r="L63" s="25"/>
      <c r="M63" s="51"/>
      <c r="N63" s="26"/>
      <c r="O63" s="52"/>
      <c r="P63" s="359"/>
    </row>
    <row r="64" spans="2:16" ht="13.5" x14ac:dyDescent="0.25">
      <c r="B64" s="328" t="s">
        <v>16</v>
      </c>
      <c r="C64" s="329" t="s">
        <v>0</v>
      </c>
      <c r="D64" s="330" t="s">
        <v>1</v>
      </c>
      <c r="E64" s="331" t="s">
        <v>2</v>
      </c>
      <c r="F64" s="332"/>
      <c r="G64" s="333"/>
      <c r="H64" s="30"/>
      <c r="I64" s="31"/>
      <c r="J64" s="32"/>
      <c r="K64" s="53"/>
      <c r="L64" s="34"/>
      <c r="M64" s="54"/>
      <c r="N64" s="36"/>
      <c r="O64" s="37"/>
      <c r="P64" s="360"/>
    </row>
    <row r="65" spans="2:20" ht="27.75" thickBot="1" x14ac:dyDescent="0.3">
      <c r="B65" s="325">
        <v>501</v>
      </c>
      <c r="C65" s="96" t="s">
        <v>100</v>
      </c>
      <c r="D65" s="94" t="s">
        <v>101</v>
      </c>
      <c r="E65" s="182">
        <f>+Attachement!E63</f>
        <v>1</v>
      </c>
      <c r="F65" s="326">
        <v>9000000</v>
      </c>
      <c r="G65" s="327">
        <f t="shared" ref="G65:G70" si="51">+E65*F65</f>
        <v>9000000</v>
      </c>
      <c r="H65" s="38">
        <f>+Attachement!F63</f>
        <v>0</v>
      </c>
      <c r="I65" s="31">
        <f>+H65*F65</f>
        <v>0</v>
      </c>
      <c r="J65" s="263">
        <f>+Attachement!G63</f>
        <v>0</v>
      </c>
      <c r="K65" s="33">
        <f t="shared" ref="K65:K70" si="52">+J65*F65</f>
        <v>0</v>
      </c>
      <c r="L65" s="34">
        <f>+J65+H65</f>
        <v>0</v>
      </c>
      <c r="M65" s="35">
        <f t="shared" si="39"/>
        <v>0</v>
      </c>
      <c r="N65" s="36">
        <f t="shared" si="40"/>
        <v>0</v>
      </c>
      <c r="O65" s="37">
        <f t="shared" si="41"/>
        <v>1</v>
      </c>
      <c r="P65" s="357">
        <f>+G65-M65</f>
        <v>9000000</v>
      </c>
      <c r="R65" s="258"/>
      <c r="T65" s="255"/>
    </row>
    <row r="66" spans="2:20" ht="17.25" thickBot="1" x14ac:dyDescent="0.3">
      <c r="B66" s="39"/>
      <c r="C66" s="40" t="s">
        <v>112</v>
      </c>
      <c r="D66" s="180"/>
      <c r="E66" s="41"/>
      <c r="F66" s="42"/>
      <c r="G66" s="185">
        <f>+SUBTOTAL(9,G65)</f>
        <v>9000000</v>
      </c>
      <c r="H66" s="43"/>
      <c r="I66" s="44">
        <f>+SUBTOTAL(9,I65)</f>
        <v>0</v>
      </c>
      <c r="J66" s="45"/>
      <c r="K66" s="46">
        <f>+SUBTOTAL(9,K65)</f>
        <v>0</v>
      </c>
      <c r="L66" s="47"/>
      <c r="M66" s="44">
        <f>+SUBTOTAL(9,M65)</f>
        <v>0</v>
      </c>
      <c r="N66" s="48">
        <f>+M66/G66</f>
        <v>0</v>
      </c>
      <c r="O66" s="49"/>
      <c r="P66" s="358">
        <f>+SUBTOTAL(9,P65)</f>
        <v>9000000</v>
      </c>
    </row>
    <row r="67" spans="2:20" ht="23.1" customHeight="1" x14ac:dyDescent="0.25">
      <c r="B67" s="50">
        <v>600</v>
      </c>
      <c r="C67" s="17" t="s">
        <v>103</v>
      </c>
      <c r="D67" s="178"/>
      <c r="E67" s="19"/>
      <c r="F67" s="20"/>
      <c r="G67" s="183"/>
      <c r="H67" s="21"/>
      <c r="I67" s="22"/>
      <c r="J67" s="23"/>
      <c r="K67" s="24"/>
      <c r="L67" s="25"/>
      <c r="M67" s="51"/>
      <c r="N67" s="26"/>
      <c r="O67" s="52"/>
      <c r="P67" s="359"/>
    </row>
    <row r="68" spans="2:20" ht="13.5" x14ac:dyDescent="0.25">
      <c r="B68" s="328" t="s">
        <v>16</v>
      </c>
      <c r="C68" s="329" t="s">
        <v>0</v>
      </c>
      <c r="D68" s="330" t="s">
        <v>1</v>
      </c>
      <c r="E68" s="331" t="s">
        <v>2</v>
      </c>
      <c r="F68" s="332"/>
      <c r="G68" s="333"/>
      <c r="H68" s="30"/>
      <c r="I68" s="31"/>
      <c r="J68" s="32"/>
      <c r="K68" s="53"/>
      <c r="L68" s="34"/>
      <c r="M68" s="54"/>
      <c r="N68" s="36"/>
      <c r="O68" s="37"/>
      <c r="P68" s="360"/>
    </row>
    <row r="69" spans="2:20" ht="13.5" x14ac:dyDescent="0.25">
      <c r="B69" s="93">
        <v>601</v>
      </c>
      <c r="C69" s="92" t="s">
        <v>104</v>
      </c>
      <c r="D69" s="95" t="s">
        <v>48</v>
      </c>
      <c r="E69" s="181">
        <f>+Attachement!E66</f>
        <v>1</v>
      </c>
      <c r="F69" s="106">
        <v>3800000</v>
      </c>
      <c r="G69" s="186">
        <f t="shared" si="51"/>
        <v>3800000</v>
      </c>
      <c r="H69" s="38">
        <f>+Attachement!F66</f>
        <v>0</v>
      </c>
      <c r="I69" s="31">
        <f t="shared" ref="I69:I70" si="53">H69*F69</f>
        <v>0</v>
      </c>
      <c r="J69" s="263">
        <f>+Attachement!G66</f>
        <v>0</v>
      </c>
      <c r="K69" s="33">
        <f t="shared" si="52"/>
        <v>0</v>
      </c>
      <c r="L69" s="34">
        <f t="shared" si="39"/>
        <v>0</v>
      </c>
      <c r="M69" s="35">
        <f t="shared" si="39"/>
        <v>0</v>
      </c>
      <c r="N69" s="36">
        <f t="shared" si="40"/>
        <v>0</v>
      </c>
      <c r="O69" s="37">
        <f t="shared" si="41"/>
        <v>1</v>
      </c>
      <c r="P69" s="357">
        <f t="shared" ref="P69:P70" si="54">+G69-M69</f>
        <v>3800000</v>
      </c>
      <c r="R69" s="258"/>
      <c r="T69" s="255"/>
    </row>
    <row r="70" spans="2:20" ht="14.25" thickBot="1" x14ac:dyDescent="0.3">
      <c r="B70" s="93">
        <v>602</v>
      </c>
      <c r="C70" s="92" t="s">
        <v>105</v>
      </c>
      <c r="D70" s="95" t="s">
        <v>48</v>
      </c>
      <c r="E70" s="181">
        <f>+Attachement!E67</f>
        <v>1</v>
      </c>
      <c r="F70" s="106">
        <v>52000000</v>
      </c>
      <c r="G70" s="186">
        <f t="shared" si="51"/>
        <v>52000000</v>
      </c>
      <c r="H70" s="38">
        <f>+Attachement!F67</f>
        <v>0</v>
      </c>
      <c r="I70" s="31">
        <f t="shared" si="53"/>
        <v>0</v>
      </c>
      <c r="J70" s="263">
        <f>+Attachement!G67</f>
        <v>0</v>
      </c>
      <c r="K70" s="33">
        <f t="shared" si="52"/>
        <v>0</v>
      </c>
      <c r="L70" s="34">
        <f t="shared" si="39"/>
        <v>0</v>
      </c>
      <c r="M70" s="35">
        <f t="shared" si="39"/>
        <v>0</v>
      </c>
      <c r="N70" s="36">
        <f t="shared" si="40"/>
        <v>0</v>
      </c>
      <c r="O70" s="37">
        <f t="shared" si="41"/>
        <v>1</v>
      </c>
      <c r="P70" s="357">
        <f t="shared" si="54"/>
        <v>52000000</v>
      </c>
      <c r="R70" s="258"/>
      <c r="T70" s="255"/>
    </row>
    <row r="71" spans="2:20" ht="23.25" customHeight="1" thickBot="1" x14ac:dyDescent="0.3">
      <c r="B71" s="214"/>
      <c r="C71" s="215" t="s">
        <v>113</v>
      </c>
      <c r="D71" s="216"/>
      <c r="E71" s="217"/>
      <c r="F71" s="218"/>
      <c r="G71" s="219">
        <f>+SUBTOTAL(9,G69:G70)</f>
        <v>55800000</v>
      </c>
      <c r="H71" s="220"/>
      <c r="I71" s="221">
        <f>+SUBTOTAL(9,I69:I70)</f>
        <v>0</v>
      </c>
      <c r="J71" s="222"/>
      <c r="K71" s="223">
        <f>+SUBTOTAL(9,K69:K70)</f>
        <v>0</v>
      </c>
      <c r="L71" s="224"/>
      <c r="M71" s="221">
        <f>+SUBTOTAL(9,M69:M70)</f>
        <v>0</v>
      </c>
      <c r="N71" s="225">
        <f>+M71/G71</f>
        <v>0</v>
      </c>
      <c r="O71" s="226"/>
      <c r="P71" s="361">
        <f>+SUBTOTAL(9,P69:P70)</f>
        <v>55800000</v>
      </c>
    </row>
    <row r="72" spans="2:20" s="3" customFormat="1" ht="24" customHeight="1" thickTop="1" thickBot="1" x14ac:dyDescent="0.35">
      <c r="B72" s="377"/>
      <c r="C72" s="378" t="s">
        <v>115</v>
      </c>
      <c r="D72" s="379"/>
      <c r="E72" s="380"/>
      <c r="F72" s="381"/>
      <c r="G72" s="382">
        <f>+G23+G29+G38+G48+G62+G66+G71</f>
        <v>6735033000</v>
      </c>
      <c r="H72" s="383"/>
      <c r="I72" s="384">
        <f>+I23+I29+I38+I48+I62+I66+I71</f>
        <v>0</v>
      </c>
      <c r="J72" s="385"/>
      <c r="K72" s="384">
        <f>+K23+K29+K38+K48+K62+K66+K71</f>
        <v>648089192</v>
      </c>
      <c r="L72" s="386"/>
      <c r="M72" s="384">
        <f>+M23+M29+M38+M48+M62+M66+M71</f>
        <v>648089192</v>
      </c>
      <c r="N72" s="387">
        <f>+M72/G72</f>
        <v>9.6226580033089662E-2</v>
      </c>
      <c r="O72" s="388"/>
      <c r="P72" s="389">
        <f>+P23+P29+P38+P48+P62+P66+P71</f>
        <v>6086943808</v>
      </c>
    </row>
    <row r="73" spans="2:20" ht="19.5" customHeight="1" x14ac:dyDescent="0.25">
      <c r="B73" s="542" t="s">
        <v>138</v>
      </c>
      <c r="C73" s="543"/>
      <c r="D73" s="543"/>
      <c r="E73" s="543"/>
      <c r="F73" s="543"/>
      <c r="G73" s="543"/>
      <c r="H73" s="543"/>
      <c r="I73" s="543"/>
      <c r="J73" s="543"/>
      <c r="K73" s="543"/>
      <c r="L73" s="543"/>
      <c r="M73" s="543"/>
      <c r="N73" s="543"/>
      <c r="O73" s="543"/>
      <c r="P73" s="544"/>
    </row>
    <row r="74" spans="2:20" ht="19.5" customHeight="1" x14ac:dyDescent="0.25">
      <c r="B74" s="338" t="s">
        <v>106</v>
      </c>
      <c r="C74" s="339" t="s">
        <v>116</v>
      </c>
      <c r="D74" s="340"/>
      <c r="E74" s="341"/>
      <c r="F74" s="342"/>
      <c r="G74" s="343"/>
      <c r="H74" s="344"/>
      <c r="I74" s="345"/>
      <c r="J74" s="346"/>
      <c r="K74" s="347"/>
      <c r="L74" s="348"/>
      <c r="M74" s="347"/>
      <c r="N74" s="349"/>
      <c r="O74" s="350"/>
      <c r="P74" s="356"/>
    </row>
    <row r="75" spans="2:20" ht="13.5" x14ac:dyDescent="0.25">
      <c r="B75" s="27" t="s">
        <v>16</v>
      </c>
      <c r="C75" s="28" t="s">
        <v>0</v>
      </c>
      <c r="D75" s="179" t="s">
        <v>1</v>
      </c>
      <c r="E75" s="29" t="s">
        <v>2</v>
      </c>
      <c r="F75" s="336"/>
      <c r="G75" s="335"/>
      <c r="H75" s="30"/>
      <c r="I75" s="31"/>
      <c r="J75" s="32"/>
      <c r="K75" s="33"/>
      <c r="L75" s="34"/>
      <c r="M75" s="35"/>
      <c r="N75" s="36"/>
      <c r="O75" s="37"/>
      <c r="P75" s="357"/>
    </row>
    <row r="76" spans="2:20" ht="14.25" thickBot="1" x14ac:dyDescent="0.3">
      <c r="B76" s="190" t="s">
        <v>17</v>
      </c>
      <c r="C76" s="92" t="s">
        <v>117</v>
      </c>
      <c r="D76" s="191" t="s">
        <v>61</v>
      </c>
      <c r="E76" s="192">
        <f>+Attachement!E72</f>
        <v>1</v>
      </c>
      <c r="F76" s="193">
        <v>27000000</v>
      </c>
      <c r="G76" s="184">
        <f>+E76*F76</f>
        <v>27000000</v>
      </c>
      <c r="H76" s="38">
        <f>+Attachement!F72</f>
        <v>0</v>
      </c>
      <c r="I76" s="31"/>
      <c r="J76" s="265">
        <f>+Attachement!G72</f>
        <v>0</v>
      </c>
      <c r="K76" s="33">
        <f t="shared" ref="K76" si="55">+J76*F76</f>
        <v>0</v>
      </c>
      <c r="L76" s="34">
        <f>+J76+H76</f>
        <v>0</v>
      </c>
      <c r="M76" s="35">
        <f t="shared" ref="M76" si="56">+K76+I76</f>
        <v>0</v>
      </c>
      <c r="N76" s="36">
        <f t="shared" ref="N76" si="57">+M76/G76</f>
        <v>0</v>
      </c>
      <c r="O76" s="37">
        <f>+E76-L76</f>
        <v>1</v>
      </c>
      <c r="P76" s="357">
        <f>+G76-M76</f>
        <v>27000000</v>
      </c>
      <c r="R76" s="257"/>
    </row>
    <row r="77" spans="2:20" ht="22.9" customHeight="1" thickBot="1" x14ac:dyDescent="0.3">
      <c r="B77" s="39"/>
      <c r="C77" s="40" t="s">
        <v>107</v>
      </c>
      <c r="D77" s="180"/>
      <c r="E77" s="41"/>
      <c r="F77" s="42"/>
      <c r="G77" s="185">
        <f>+SUBTOTAL(9,G75:G76)</f>
        <v>27000000</v>
      </c>
      <c r="H77" s="43"/>
      <c r="I77" s="44">
        <f>+SUBTOTAL(9,I75:I76)</f>
        <v>0</v>
      </c>
      <c r="J77" s="45"/>
      <c r="K77" s="46">
        <f>+SUBTOTAL(9,K75:K76)</f>
        <v>0</v>
      </c>
      <c r="L77" s="47"/>
      <c r="M77" s="44">
        <f>+SUBTOTAL(9,M75:M76)</f>
        <v>0</v>
      </c>
      <c r="N77" s="48">
        <f>+M77/G77</f>
        <v>0</v>
      </c>
      <c r="O77" s="49"/>
      <c r="P77" s="358">
        <f>+SUBTOTAL(9,P75:P76)</f>
        <v>27000000</v>
      </c>
    </row>
    <row r="78" spans="2:20" ht="20.25" customHeight="1" x14ac:dyDescent="0.25">
      <c r="B78" s="50">
        <v>100</v>
      </c>
      <c r="C78" s="17" t="s">
        <v>132</v>
      </c>
      <c r="D78" s="178"/>
      <c r="E78" s="19"/>
      <c r="F78" s="20"/>
      <c r="G78" s="183"/>
      <c r="H78" s="21"/>
      <c r="I78" s="22"/>
      <c r="J78" s="23"/>
      <c r="K78" s="24"/>
      <c r="L78" s="25"/>
      <c r="M78" s="51"/>
      <c r="N78" s="26"/>
      <c r="O78" s="52"/>
      <c r="P78" s="359"/>
    </row>
    <row r="79" spans="2:20" ht="13.5" x14ac:dyDescent="0.25">
      <c r="B79" s="55" t="s">
        <v>16</v>
      </c>
      <c r="C79" s="28" t="s">
        <v>0</v>
      </c>
      <c r="D79" s="179" t="s">
        <v>1</v>
      </c>
      <c r="E79" s="29" t="s">
        <v>2</v>
      </c>
      <c r="F79" s="334"/>
      <c r="G79" s="335"/>
      <c r="H79" s="30"/>
      <c r="I79" s="31"/>
      <c r="J79" s="32"/>
      <c r="K79" s="53"/>
      <c r="L79" s="34"/>
      <c r="M79" s="54"/>
      <c r="N79" s="36"/>
      <c r="O79" s="37"/>
      <c r="P79" s="360"/>
      <c r="R79" s="257"/>
      <c r="T79" s="257"/>
    </row>
    <row r="80" spans="2:20" ht="13.5" x14ac:dyDescent="0.25">
      <c r="B80" s="190">
        <v>101</v>
      </c>
      <c r="C80" s="92" t="s">
        <v>118</v>
      </c>
      <c r="D80" s="191" t="s">
        <v>101</v>
      </c>
      <c r="E80" s="192">
        <f>+Attachement!E79</f>
        <v>1</v>
      </c>
      <c r="F80" s="193">
        <v>6000000</v>
      </c>
      <c r="G80" s="184">
        <f t="shared" ref="G80:G89" si="58">+E80*F80</f>
        <v>6000000</v>
      </c>
      <c r="H80" s="38">
        <f>+Attachement!F79</f>
        <v>0</v>
      </c>
      <c r="I80" s="31">
        <f>H80*F80</f>
        <v>0</v>
      </c>
      <c r="J80" s="265">
        <f>+Attachement!G79</f>
        <v>0</v>
      </c>
      <c r="K80" s="33">
        <f t="shared" ref="K80:K81" si="59">+J80*F80</f>
        <v>0</v>
      </c>
      <c r="L80" s="34">
        <f t="shared" ref="L80:L81" si="60">+J80+H80</f>
        <v>0</v>
      </c>
      <c r="M80" s="35">
        <f t="shared" ref="M80:M81" si="61">+K80+I80</f>
        <v>0</v>
      </c>
      <c r="N80" s="36">
        <f t="shared" ref="N80:N81" si="62">+M80/G80</f>
        <v>0</v>
      </c>
      <c r="O80" s="37">
        <f>+E80-L80</f>
        <v>1</v>
      </c>
      <c r="P80" s="357">
        <f>+G80-M80</f>
        <v>6000000</v>
      </c>
      <c r="R80" s="257"/>
      <c r="T80" s="257"/>
    </row>
    <row r="81" spans="2:20" ht="13.5" x14ac:dyDescent="0.25">
      <c r="B81" s="190">
        <v>102</v>
      </c>
      <c r="C81" s="92" t="s">
        <v>119</v>
      </c>
      <c r="D81" s="191" t="s">
        <v>101</v>
      </c>
      <c r="E81" s="192">
        <f>+Attachement!E80</f>
        <v>1</v>
      </c>
      <c r="F81" s="193">
        <v>1000000</v>
      </c>
      <c r="G81" s="184">
        <f t="shared" si="58"/>
        <v>1000000</v>
      </c>
      <c r="H81" s="38">
        <f>+Attachement!F80</f>
        <v>0</v>
      </c>
      <c r="I81" s="31">
        <f t="shared" ref="I81" si="63">H81*F81</f>
        <v>0</v>
      </c>
      <c r="J81" s="265">
        <f>+Attachement!G80</f>
        <v>0</v>
      </c>
      <c r="K81" s="33">
        <f t="shared" si="59"/>
        <v>0</v>
      </c>
      <c r="L81" s="34">
        <f t="shared" si="60"/>
        <v>0</v>
      </c>
      <c r="M81" s="35">
        <f t="shared" si="61"/>
        <v>0</v>
      </c>
      <c r="N81" s="36">
        <f t="shared" si="62"/>
        <v>0</v>
      </c>
      <c r="O81" s="37">
        <f t="shared" ref="O81" si="64">+E81-L81</f>
        <v>1</v>
      </c>
      <c r="P81" s="357">
        <f t="shared" ref="P81" si="65">+G81-M81</f>
        <v>1000000</v>
      </c>
      <c r="R81" s="257"/>
      <c r="T81" s="257"/>
    </row>
    <row r="82" spans="2:20" ht="13.5" x14ac:dyDescent="0.25">
      <c r="B82" s="190">
        <v>103</v>
      </c>
      <c r="C82" s="92" t="s">
        <v>120</v>
      </c>
      <c r="D82" s="191" t="s">
        <v>25</v>
      </c>
      <c r="E82" s="192">
        <f>+Attachement!E81</f>
        <v>28</v>
      </c>
      <c r="F82" s="193">
        <v>8000000</v>
      </c>
      <c r="G82" s="184">
        <f t="shared" si="58"/>
        <v>224000000</v>
      </c>
      <c r="H82" s="38">
        <f>+Attachement!F81</f>
        <v>0</v>
      </c>
      <c r="I82" s="31">
        <f>H82*F82</f>
        <v>0</v>
      </c>
      <c r="J82" s="265">
        <f>+Attachement!G81</f>
        <v>0</v>
      </c>
      <c r="K82" s="33">
        <f t="shared" ref="K82:K88" si="66">+J82*F82</f>
        <v>0</v>
      </c>
      <c r="L82" s="34">
        <f t="shared" ref="L82:L88" si="67">+J82+H82</f>
        <v>0</v>
      </c>
      <c r="M82" s="35">
        <f t="shared" ref="M82:M88" si="68">+K82+I82</f>
        <v>0</v>
      </c>
      <c r="N82" s="36">
        <f t="shared" ref="N82:N88" si="69">+M82/G82</f>
        <v>0</v>
      </c>
      <c r="O82" s="37">
        <f>+E82-L82</f>
        <v>28</v>
      </c>
      <c r="P82" s="357">
        <f>+G82-M82</f>
        <v>224000000</v>
      </c>
      <c r="R82" s="257"/>
      <c r="T82" s="257"/>
    </row>
    <row r="83" spans="2:20" ht="27" x14ac:dyDescent="0.25">
      <c r="B83" s="190"/>
      <c r="C83" s="92" t="s">
        <v>121</v>
      </c>
      <c r="D83" s="191"/>
      <c r="E83" s="192">
        <f>+Attachement!E82</f>
        <v>0</v>
      </c>
      <c r="F83" s="193"/>
      <c r="G83" s="184">
        <f t="shared" si="58"/>
        <v>0</v>
      </c>
      <c r="H83" s="38">
        <f>+Attachement!F82</f>
        <v>0</v>
      </c>
      <c r="I83" s="31">
        <f t="shared" ref="I83" si="70">H83*F83</f>
        <v>0</v>
      </c>
      <c r="J83" s="265">
        <f>+Attachement!G82</f>
        <v>0</v>
      </c>
      <c r="K83" s="33">
        <f t="shared" si="66"/>
        <v>0</v>
      </c>
      <c r="L83" s="34">
        <f t="shared" si="67"/>
        <v>0</v>
      </c>
      <c r="M83" s="35">
        <f t="shared" si="68"/>
        <v>0</v>
      </c>
      <c r="N83" s="36"/>
      <c r="O83" s="37">
        <f t="shared" ref="O83" si="71">+E83-L83</f>
        <v>0</v>
      </c>
      <c r="P83" s="357">
        <f t="shared" ref="P83" si="72">+G83-M83</f>
        <v>0</v>
      </c>
      <c r="R83" s="257"/>
      <c r="T83" s="257"/>
    </row>
    <row r="84" spans="2:20" ht="13.5" x14ac:dyDescent="0.25">
      <c r="B84" s="190"/>
      <c r="C84" s="92" t="s">
        <v>122</v>
      </c>
      <c r="D84" s="191"/>
      <c r="E84" s="192">
        <f>+Attachement!E83</f>
        <v>0</v>
      </c>
      <c r="F84" s="193"/>
      <c r="G84" s="184">
        <f t="shared" si="58"/>
        <v>0</v>
      </c>
      <c r="H84" s="38">
        <f>+Attachement!F83</f>
        <v>0</v>
      </c>
      <c r="I84" s="31">
        <f>H84*F84</f>
        <v>0</v>
      </c>
      <c r="J84" s="265">
        <f>+Attachement!G83</f>
        <v>0</v>
      </c>
      <c r="K84" s="33">
        <f t="shared" si="66"/>
        <v>0</v>
      </c>
      <c r="L84" s="34">
        <f t="shared" si="67"/>
        <v>0</v>
      </c>
      <c r="M84" s="35">
        <f t="shared" si="68"/>
        <v>0</v>
      </c>
      <c r="N84" s="36"/>
      <c r="O84" s="37">
        <f>+E84-L84</f>
        <v>0</v>
      </c>
      <c r="P84" s="357">
        <f>+G84-M84</f>
        <v>0</v>
      </c>
      <c r="R84" s="257"/>
      <c r="T84" s="257"/>
    </row>
    <row r="85" spans="2:20" ht="13.5" x14ac:dyDescent="0.25">
      <c r="B85" s="190"/>
      <c r="C85" s="92" t="s">
        <v>123</v>
      </c>
      <c r="D85" s="191"/>
      <c r="E85" s="192">
        <f>+Attachement!E84</f>
        <v>0</v>
      </c>
      <c r="F85" s="193"/>
      <c r="G85" s="184">
        <f t="shared" si="58"/>
        <v>0</v>
      </c>
      <c r="H85" s="38">
        <f>+Attachement!F84</f>
        <v>0</v>
      </c>
      <c r="I85" s="31">
        <f t="shared" ref="I85" si="73">H85*F85</f>
        <v>0</v>
      </c>
      <c r="J85" s="265">
        <f>+Attachement!G84</f>
        <v>0</v>
      </c>
      <c r="K85" s="33">
        <f t="shared" si="66"/>
        <v>0</v>
      </c>
      <c r="L85" s="34">
        <f t="shared" si="67"/>
        <v>0</v>
      </c>
      <c r="M85" s="35">
        <f t="shared" si="68"/>
        <v>0</v>
      </c>
      <c r="N85" s="36"/>
      <c r="O85" s="37">
        <f t="shared" ref="O85" si="74">+E85-L85</f>
        <v>0</v>
      </c>
      <c r="P85" s="357">
        <f t="shared" ref="P85" si="75">+G85-M85</f>
        <v>0</v>
      </c>
      <c r="R85" s="257"/>
      <c r="T85" s="257"/>
    </row>
    <row r="86" spans="2:20" ht="13.5" x14ac:dyDescent="0.25">
      <c r="B86" s="190"/>
      <c r="C86" s="92" t="s">
        <v>124</v>
      </c>
      <c r="D86" s="191"/>
      <c r="E86" s="192">
        <f>+Attachement!E85</f>
        <v>0</v>
      </c>
      <c r="F86" s="193"/>
      <c r="G86" s="184">
        <f t="shared" si="58"/>
        <v>0</v>
      </c>
      <c r="H86" s="38">
        <f>+Attachement!F85</f>
        <v>0</v>
      </c>
      <c r="I86" s="31">
        <f>H86*F86</f>
        <v>0</v>
      </c>
      <c r="J86" s="265">
        <f>+Attachement!G85</f>
        <v>0</v>
      </c>
      <c r="K86" s="33">
        <f t="shared" ref="K86" si="76">+J86*F86</f>
        <v>0</v>
      </c>
      <c r="L86" s="34">
        <f t="shared" ref="L86" si="77">+J86+H86</f>
        <v>0</v>
      </c>
      <c r="M86" s="35">
        <f t="shared" ref="M86" si="78">+K86+I86</f>
        <v>0</v>
      </c>
      <c r="N86" s="36"/>
      <c r="O86" s="37">
        <f>+E86-L86</f>
        <v>0</v>
      </c>
      <c r="P86" s="357">
        <f>+G86-M86</f>
        <v>0</v>
      </c>
      <c r="R86" s="257"/>
      <c r="T86" s="257"/>
    </row>
    <row r="87" spans="2:20" ht="13.5" x14ac:dyDescent="0.25">
      <c r="B87" s="190"/>
      <c r="C87" s="92" t="s">
        <v>125</v>
      </c>
      <c r="D87" s="191"/>
      <c r="E87" s="192">
        <f>+Attachement!E86</f>
        <v>0</v>
      </c>
      <c r="F87" s="193"/>
      <c r="G87" s="184">
        <f t="shared" si="58"/>
        <v>0</v>
      </c>
      <c r="H87" s="38">
        <f>+Attachement!F86</f>
        <v>0</v>
      </c>
      <c r="I87" s="31">
        <f>H87*F87</f>
        <v>0</v>
      </c>
      <c r="J87" s="265">
        <f>+Attachement!G86</f>
        <v>0</v>
      </c>
      <c r="K87" s="33">
        <f t="shared" si="66"/>
        <v>0</v>
      </c>
      <c r="L87" s="34">
        <f t="shared" si="67"/>
        <v>0</v>
      </c>
      <c r="M87" s="35">
        <f t="shared" si="68"/>
        <v>0</v>
      </c>
      <c r="N87" s="36"/>
      <c r="O87" s="37">
        <f>+E87-L87</f>
        <v>0</v>
      </c>
      <c r="P87" s="357">
        <f>+G87-M87</f>
        <v>0</v>
      </c>
      <c r="R87" s="257"/>
      <c r="T87" s="257"/>
    </row>
    <row r="88" spans="2:20" ht="13.5" x14ac:dyDescent="0.25">
      <c r="B88" s="190">
        <v>104</v>
      </c>
      <c r="C88" s="92" t="s">
        <v>126</v>
      </c>
      <c r="D88" s="191" t="s">
        <v>78</v>
      </c>
      <c r="E88" s="192">
        <f>+Attachement!E87</f>
        <v>760</v>
      </c>
      <c r="F88" s="193">
        <v>125000</v>
      </c>
      <c r="G88" s="184">
        <f t="shared" si="58"/>
        <v>95000000</v>
      </c>
      <c r="H88" s="38">
        <f>+Attachement!F87</f>
        <v>0</v>
      </c>
      <c r="I88" s="31">
        <f t="shared" ref="I88" si="79">H88*F88</f>
        <v>0</v>
      </c>
      <c r="J88" s="265">
        <f>+Attachement!G87</f>
        <v>0</v>
      </c>
      <c r="K88" s="33">
        <f t="shared" si="66"/>
        <v>0</v>
      </c>
      <c r="L88" s="34">
        <f t="shared" si="67"/>
        <v>0</v>
      </c>
      <c r="M88" s="35">
        <f t="shared" si="68"/>
        <v>0</v>
      </c>
      <c r="N88" s="36">
        <f t="shared" si="69"/>
        <v>0</v>
      </c>
      <c r="O88" s="37">
        <f t="shared" ref="O88" si="80">+E88-L88</f>
        <v>760</v>
      </c>
      <c r="P88" s="357">
        <f t="shared" ref="P88" si="81">+G88-M88</f>
        <v>95000000</v>
      </c>
      <c r="R88" s="257"/>
      <c r="T88" s="257"/>
    </row>
    <row r="89" spans="2:20" ht="14.25" thickBot="1" x14ac:dyDescent="0.3">
      <c r="B89" s="190">
        <v>105</v>
      </c>
      <c r="C89" s="92" t="s">
        <v>127</v>
      </c>
      <c r="D89" s="191" t="s">
        <v>128</v>
      </c>
      <c r="E89" s="192">
        <f>+Attachement!E88</f>
        <v>11000</v>
      </c>
      <c r="F89" s="193">
        <v>1500</v>
      </c>
      <c r="G89" s="184">
        <f t="shared" si="58"/>
        <v>16500000</v>
      </c>
      <c r="H89" s="38">
        <f>+Attachement!F88</f>
        <v>0</v>
      </c>
      <c r="I89" s="31">
        <f>H89*F89</f>
        <v>0</v>
      </c>
      <c r="J89" s="265">
        <f>+Attachement!G88</f>
        <v>0</v>
      </c>
      <c r="K89" s="33">
        <f t="shared" ref="K89" si="82">+J89*F89</f>
        <v>0</v>
      </c>
      <c r="L89" s="34">
        <f t="shared" ref="L89" si="83">+J89+H89</f>
        <v>0</v>
      </c>
      <c r="M89" s="35">
        <f t="shared" ref="M89" si="84">+K89+I89</f>
        <v>0</v>
      </c>
      <c r="N89" s="36">
        <f t="shared" ref="N89" si="85">+M89/G89</f>
        <v>0</v>
      </c>
      <c r="O89" s="37">
        <f>+E89-L89</f>
        <v>11000</v>
      </c>
      <c r="P89" s="357">
        <f>+G89-M89</f>
        <v>16500000</v>
      </c>
      <c r="R89" s="257"/>
      <c r="T89" s="257"/>
    </row>
    <row r="90" spans="2:20" ht="18" customHeight="1" thickBot="1" x14ac:dyDescent="0.3">
      <c r="B90" s="39"/>
      <c r="C90" s="40" t="s">
        <v>108</v>
      </c>
      <c r="D90" s="180"/>
      <c r="E90" s="41"/>
      <c r="F90" s="42"/>
      <c r="G90" s="185">
        <f>+SUBTOTAL(9,G79:G89)</f>
        <v>342500000</v>
      </c>
      <c r="H90" s="43"/>
      <c r="I90" s="44">
        <f>+SUBTOTAL(9,I79:I89)</f>
        <v>0</v>
      </c>
      <c r="J90" s="45"/>
      <c r="K90" s="46">
        <f>+SUBTOTAL(9,K79:K89)</f>
        <v>0</v>
      </c>
      <c r="L90" s="47"/>
      <c r="M90" s="44">
        <f>+SUBTOTAL(9,M79:M89)</f>
        <v>0</v>
      </c>
      <c r="N90" s="48">
        <f>+M90/G90</f>
        <v>0</v>
      </c>
      <c r="O90" s="49"/>
      <c r="P90" s="358">
        <f>+SUBTOTAL(9,P79:P89)</f>
        <v>342500000</v>
      </c>
    </row>
    <row r="91" spans="2:20" ht="14.25" thickBot="1" x14ac:dyDescent="0.3">
      <c r="B91" s="501"/>
      <c r="C91" s="504" t="s">
        <v>0</v>
      </c>
      <c r="D91" s="537" t="s">
        <v>1</v>
      </c>
      <c r="E91" s="537" t="s">
        <v>2</v>
      </c>
      <c r="F91" s="504" t="s">
        <v>3</v>
      </c>
      <c r="G91" s="546" t="s">
        <v>4</v>
      </c>
      <c r="H91" s="524" t="s">
        <v>5</v>
      </c>
      <c r="I91" s="525"/>
      <c r="J91" s="525"/>
      <c r="K91" s="525"/>
      <c r="L91" s="525"/>
      <c r="M91" s="525"/>
      <c r="N91" s="525"/>
      <c r="O91" s="525"/>
      <c r="P91" s="526"/>
    </row>
    <row r="92" spans="2:20" ht="34.5" customHeight="1" thickBot="1" x14ac:dyDescent="0.3">
      <c r="B92" s="502"/>
      <c r="C92" s="505"/>
      <c r="D92" s="538"/>
      <c r="E92" s="538"/>
      <c r="F92" s="505"/>
      <c r="G92" s="547"/>
      <c r="H92" s="527" t="s">
        <v>6</v>
      </c>
      <c r="I92" s="528"/>
      <c r="J92" s="527" t="s">
        <v>7</v>
      </c>
      <c r="K92" s="529"/>
      <c r="L92" s="530" t="s">
        <v>8</v>
      </c>
      <c r="M92" s="528"/>
      <c r="N92" s="513" t="s">
        <v>9</v>
      </c>
      <c r="O92" s="532" t="s">
        <v>10</v>
      </c>
      <c r="P92" s="533"/>
    </row>
    <row r="93" spans="2:20" ht="20.25" customHeight="1" thickBot="1" x14ac:dyDescent="0.3">
      <c r="B93" s="502"/>
      <c r="C93" s="505"/>
      <c r="D93" s="538"/>
      <c r="E93" s="538"/>
      <c r="F93" s="505"/>
      <c r="G93" s="547"/>
      <c r="H93" s="286" t="s">
        <v>11</v>
      </c>
      <c r="I93" s="271" t="s">
        <v>12</v>
      </c>
      <c r="J93" s="286" t="s">
        <v>11</v>
      </c>
      <c r="K93" s="310" t="s">
        <v>12</v>
      </c>
      <c r="L93" s="337" t="s">
        <v>11</v>
      </c>
      <c r="M93" s="310" t="s">
        <v>12</v>
      </c>
      <c r="N93" s="531"/>
      <c r="O93" s="337" t="s">
        <v>13</v>
      </c>
      <c r="P93" s="355" t="s">
        <v>14</v>
      </c>
    </row>
    <row r="94" spans="2:20" ht="22.9" customHeight="1" x14ac:dyDescent="0.25">
      <c r="B94" s="50">
        <v>200</v>
      </c>
      <c r="C94" s="17" t="s">
        <v>80</v>
      </c>
      <c r="D94" s="178"/>
      <c r="E94" s="19"/>
      <c r="F94" s="20"/>
      <c r="G94" s="183"/>
      <c r="H94" s="21"/>
      <c r="I94" s="22"/>
      <c r="J94" s="23"/>
      <c r="K94" s="24"/>
      <c r="L94" s="25"/>
      <c r="M94" s="51"/>
      <c r="N94" s="26"/>
      <c r="O94" s="52"/>
      <c r="P94" s="359"/>
    </row>
    <row r="95" spans="2:20" ht="13.5" x14ac:dyDescent="0.25">
      <c r="B95" s="55" t="s">
        <v>16</v>
      </c>
      <c r="C95" s="28" t="s">
        <v>0</v>
      </c>
      <c r="D95" s="179" t="s">
        <v>1</v>
      </c>
      <c r="E95" s="29" t="s">
        <v>2</v>
      </c>
      <c r="F95" s="334"/>
      <c r="G95" s="335"/>
      <c r="H95" s="30"/>
      <c r="I95" s="31"/>
      <c r="J95" s="32"/>
      <c r="K95" s="53"/>
      <c r="L95" s="34"/>
      <c r="M95" s="54"/>
      <c r="N95" s="36"/>
      <c r="O95" s="37"/>
      <c r="P95" s="360"/>
    </row>
    <row r="96" spans="2:20" x14ac:dyDescent="0.25">
      <c r="B96" s="93">
        <v>201</v>
      </c>
      <c r="C96" s="92" t="s">
        <v>129</v>
      </c>
      <c r="D96" s="94" t="s">
        <v>73</v>
      </c>
      <c r="E96" s="181">
        <f>+Attachement!E92</f>
        <v>2100</v>
      </c>
      <c r="F96" s="105">
        <v>20000</v>
      </c>
      <c r="G96" s="184">
        <f t="shared" ref="G96:G98" si="86">+E96*F96</f>
        <v>42000000</v>
      </c>
      <c r="H96" s="38">
        <f>+Attachement!F92</f>
        <v>0</v>
      </c>
      <c r="I96" s="31">
        <f t="shared" ref="I96:I98" si="87">H96*F96</f>
        <v>0</v>
      </c>
      <c r="J96" s="266">
        <f>+Attachement!G92</f>
        <v>0</v>
      </c>
      <c r="K96" s="33">
        <f t="shared" ref="K96:K98" si="88">+J96*F96</f>
        <v>0</v>
      </c>
      <c r="L96" s="34">
        <f t="shared" ref="L96:L98" si="89">+J96+H96</f>
        <v>0</v>
      </c>
      <c r="M96" s="35">
        <f t="shared" ref="M96:M98" si="90">+K96+I96</f>
        <v>0</v>
      </c>
      <c r="N96" s="36">
        <f t="shared" ref="N96" si="91">+M96/G96</f>
        <v>0</v>
      </c>
      <c r="O96" s="37">
        <f t="shared" ref="O96" si="92">+E96-L96</f>
        <v>2100</v>
      </c>
      <c r="P96" s="357">
        <f t="shared" ref="P96:P98" si="93">+G96-M96</f>
        <v>42000000</v>
      </c>
      <c r="R96" s="258"/>
      <c r="T96" s="258"/>
    </row>
    <row r="97" spans="2:20" x14ac:dyDescent="0.25">
      <c r="B97" s="93">
        <v>202</v>
      </c>
      <c r="C97" s="92" t="s">
        <v>130</v>
      </c>
      <c r="D97" s="94" t="s">
        <v>73</v>
      </c>
      <c r="E97" s="181">
        <f>+Attachement!E93</f>
        <v>5100</v>
      </c>
      <c r="F97" s="106">
        <v>20000</v>
      </c>
      <c r="G97" s="184">
        <f t="shared" si="86"/>
        <v>102000000</v>
      </c>
      <c r="H97" s="38">
        <f>+Attachement!F93</f>
        <v>0</v>
      </c>
      <c r="I97" s="31">
        <f t="shared" si="87"/>
        <v>0</v>
      </c>
      <c r="J97" s="266">
        <f>+Attachement!G93</f>
        <v>0</v>
      </c>
      <c r="K97" s="33">
        <f t="shared" si="88"/>
        <v>0</v>
      </c>
      <c r="L97" s="34">
        <f t="shared" si="89"/>
        <v>0</v>
      </c>
      <c r="M97" s="35">
        <f t="shared" si="90"/>
        <v>0</v>
      </c>
      <c r="N97" s="36"/>
      <c r="O97" s="200"/>
      <c r="P97" s="357">
        <f t="shared" si="93"/>
        <v>102000000</v>
      </c>
      <c r="R97" s="258"/>
      <c r="T97" s="258"/>
    </row>
    <row r="98" spans="2:20" ht="17.25" thickBot="1" x14ac:dyDescent="0.3">
      <c r="B98" s="93">
        <v>203</v>
      </c>
      <c r="C98" s="92" t="s">
        <v>131</v>
      </c>
      <c r="D98" s="94" t="s">
        <v>101</v>
      </c>
      <c r="E98" s="181">
        <f>+Attachement!E94</f>
        <v>1</v>
      </c>
      <c r="F98" s="106">
        <v>9000000</v>
      </c>
      <c r="G98" s="184">
        <f t="shared" si="86"/>
        <v>9000000</v>
      </c>
      <c r="H98" s="38">
        <f>+Attachement!F94</f>
        <v>0</v>
      </c>
      <c r="I98" s="31">
        <f t="shared" si="87"/>
        <v>0</v>
      </c>
      <c r="J98" s="266">
        <f>+Attachement!G94</f>
        <v>0</v>
      </c>
      <c r="K98" s="33">
        <f t="shared" si="88"/>
        <v>0</v>
      </c>
      <c r="L98" s="34">
        <f t="shared" si="89"/>
        <v>0</v>
      </c>
      <c r="M98" s="35">
        <f t="shared" si="90"/>
        <v>0</v>
      </c>
      <c r="N98" s="36">
        <f t="shared" ref="N98" si="94">+M98/G98</f>
        <v>0</v>
      </c>
      <c r="O98" s="37">
        <f t="shared" ref="O98" si="95">+E98-L98</f>
        <v>1</v>
      </c>
      <c r="P98" s="357">
        <f t="shared" si="93"/>
        <v>9000000</v>
      </c>
      <c r="R98" s="258"/>
      <c r="T98" s="258"/>
    </row>
    <row r="99" spans="2:20" ht="22.9" customHeight="1" thickBot="1" x14ac:dyDescent="0.3">
      <c r="B99" s="39"/>
      <c r="C99" s="40" t="s">
        <v>109</v>
      </c>
      <c r="D99" s="180"/>
      <c r="E99" s="41"/>
      <c r="F99" s="42"/>
      <c r="G99" s="185">
        <f>+SUBTOTAL(9,G95:G98)</f>
        <v>153000000</v>
      </c>
      <c r="H99" s="43"/>
      <c r="I99" s="44">
        <f>+SUBTOTAL(9,I95:I98)</f>
        <v>0</v>
      </c>
      <c r="J99" s="45"/>
      <c r="K99" s="46">
        <f>+SUBTOTAL(9,K95:K98)</f>
        <v>0</v>
      </c>
      <c r="L99" s="47"/>
      <c r="M99" s="44">
        <f>+SUBTOTAL(9,M95:M98)</f>
        <v>0</v>
      </c>
      <c r="N99" s="48">
        <f>+M99/G99</f>
        <v>0</v>
      </c>
      <c r="O99" s="49"/>
      <c r="P99" s="358">
        <f>+SUBTOTAL(9,P95:P98)</f>
        <v>153000000</v>
      </c>
    </row>
    <row r="100" spans="2:20" ht="22.9" customHeight="1" x14ac:dyDescent="0.25">
      <c r="B100" s="50">
        <v>300</v>
      </c>
      <c r="C100" s="17" t="s">
        <v>136</v>
      </c>
      <c r="D100" s="178"/>
      <c r="E100" s="19"/>
      <c r="F100" s="20"/>
      <c r="G100" s="183"/>
      <c r="H100" s="21"/>
      <c r="I100" s="22"/>
      <c r="J100" s="23"/>
      <c r="K100" s="24"/>
      <c r="L100" s="25"/>
      <c r="M100" s="51"/>
      <c r="N100" s="26"/>
      <c r="O100" s="52"/>
      <c r="P100" s="359"/>
    </row>
    <row r="101" spans="2:20" ht="13.5" x14ac:dyDescent="0.25">
      <c r="B101" s="55" t="s">
        <v>16</v>
      </c>
      <c r="C101" s="28" t="s">
        <v>0</v>
      </c>
      <c r="D101" s="179" t="s">
        <v>1</v>
      </c>
      <c r="E101" s="29" t="s">
        <v>2</v>
      </c>
      <c r="F101" s="334"/>
      <c r="G101" s="335"/>
      <c r="H101" s="30"/>
      <c r="I101" s="31"/>
      <c r="J101" s="32"/>
      <c r="K101" s="53"/>
      <c r="L101" s="34"/>
      <c r="M101" s="54"/>
      <c r="N101" s="36"/>
      <c r="O101" s="37"/>
      <c r="P101" s="360"/>
    </row>
    <row r="102" spans="2:20" ht="27" x14ac:dyDescent="0.25">
      <c r="B102" s="91">
        <v>301</v>
      </c>
      <c r="C102" s="92" t="s">
        <v>133</v>
      </c>
      <c r="D102" s="94" t="s">
        <v>25</v>
      </c>
      <c r="E102" s="181">
        <f>+Attachement!E98</f>
        <v>30</v>
      </c>
      <c r="F102" s="106">
        <v>750000</v>
      </c>
      <c r="G102" s="184">
        <f t="shared" ref="G102:G104" si="96">+E102*F102</f>
        <v>22500000</v>
      </c>
      <c r="H102" s="38">
        <f>+Attachement!F98</f>
        <v>0</v>
      </c>
      <c r="I102" s="31">
        <f t="shared" ref="I102:I104" si="97">H102*F102</f>
        <v>0</v>
      </c>
      <c r="J102" s="265">
        <f>+Attachement!G98</f>
        <v>0</v>
      </c>
      <c r="K102" s="33">
        <f t="shared" ref="K102:K104" si="98">+J102*F102</f>
        <v>0</v>
      </c>
      <c r="L102" s="34">
        <f t="shared" ref="L102:L104" si="99">+J102+H102</f>
        <v>0</v>
      </c>
      <c r="M102" s="35">
        <f t="shared" ref="M102:M104" si="100">+K102+I102</f>
        <v>0</v>
      </c>
      <c r="N102" s="36">
        <f t="shared" ref="N102:N104" si="101">+M102/G102</f>
        <v>0</v>
      </c>
      <c r="O102" s="37">
        <f t="shared" ref="O102:O104" si="102">+E102-L102</f>
        <v>30</v>
      </c>
      <c r="P102" s="357">
        <f t="shared" ref="P102:P104" si="103">+G102-M102</f>
        <v>22500000</v>
      </c>
      <c r="R102" s="259"/>
      <c r="T102" s="258"/>
    </row>
    <row r="103" spans="2:20" x14ac:dyDescent="0.25">
      <c r="B103" s="91">
        <v>302</v>
      </c>
      <c r="C103" s="92" t="s">
        <v>134</v>
      </c>
      <c r="D103" s="94" t="s">
        <v>101</v>
      </c>
      <c r="E103" s="181">
        <f>+Attachement!E99</f>
        <v>1</v>
      </c>
      <c r="F103" s="106">
        <v>750000</v>
      </c>
      <c r="G103" s="184">
        <f t="shared" si="96"/>
        <v>750000</v>
      </c>
      <c r="H103" s="38">
        <f>+Attachement!F99</f>
        <v>0</v>
      </c>
      <c r="I103" s="31">
        <f t="shared" si="97"/>
        <v>0</v>
      </c>
      <c r="J103" s="265">
        <f>+Attachement!G99</f>
        <v>0</v>
      </c>
      <c r="K103" s="33">
        <f t="shared" si="98"/>
        <v>0</v>
      </c>
      <c r="L103" s="34">
        <f t="shared" si="99"/>
        <v>0</v>
      </c>
      <c r="M103" s="35">
        <f t="shared" si="100"/>
        <v>0</v>
      </c>
      <c r="N103" s="36">
        <f t="shared" si="101"/>
        <v>0</v>
      </c>
      <c r="O103" s="37">
        <f t="shared" si="102"/>
        <v>1</v>
      </c>
      <c r="P103" s="357">
        <f t="shared" si="103"/>
        <v>750000</v>
      </c>
    </row>
    <row r="104" spans="2:20" ht="17.25" thickBot="1" x14ac:dyDescent="0.3">
      <c r="B104" s="91">
        <v>303</v>
      </c>
      <c r="C104" s="92" t="s">
        <v>135</v>
      </c>
      <c r="D104" s="95" t="s">
        <v>101</v>
      </c>
      <c r="E104" s="181">
        <f>+Attachement!E100</f>
        <v>1</v>
      </c>
      <c r="F104" s="106">
        <v>750000</v>
      </c>
      <c r="G104" s="184">
        <f t="shared" si="96"/>
        <v>750000</v>
      </c>
      <c r="H104" s="38">
        <f>+Attachement!F100</f>
        <v>0</v>
      </c>
      <c r="I104" s="31">
        <f t="shared" si="97"/>
        <v>0</v>
      </c>
      <c r="J104" s="265">
        <f>+Attachement!G100</f>
        <v>0</v>
      </c>
      <c r="K104" s="33">
        <f t="shared" si="98"/>
        <v>0</v>
      </c>
      <c r="L104" s="34">
        <f t="shared" si="99"/>
        <v>0</v>
      </c>
      <c r="M104" s="35">
        <f t="shared" si="100"/>
        <v>0</v>
      </c>
      <c r="N104" s="36">
        <f t="shared" si="101"/>
        <v>0</v>
      </c>
      <c r="O104" s="37">
        <f t="shared" si="102"/>
        <v>1</v>
      </c>
      <c r="P104" s="357">
        <f t="shared" si="103"/>
        <v>750000</v>
      </c>
    </row>
    <row r="105" spans="2:20" ht="22.9" customHeight="1" thickBot="1" x14ac:dyDescent="0.3">
      <c r="B105" s="39"/>
      <c r="C105" s="40" t="s">
        <v>110</v>
      </c>
      <c r="D105" s="180"/>
      <c r="E105" s="41"/>
      <c r="F105" s="42"/>
      <c r="G105" s="185">
        <f>+SUBTOTAL(9,G101:G104)</f>
        <v>24000000</v>
      </c>
      <c r="H105" s="43"/>
      <c r="I105" s="44">
        <f>+SUBTOTAL(9,I101:I104)</f>
        <v>0</v>
      </c>
      <c r="J105" s="45"/>
      <c r="K105" s="46">
        <f>+SUBTOTAL(9,K101:K104)</f>
        <v>0</v>
      </c>
      <c r="L105" s="47"/>
      <c r="M105" s="44">
        <f>+SUBTOTAL(9,M101:M104)</f>
        <v>0</v>
      </c>
      <c r="N105" s="48">
        <f>+M105/G105</f>
        <v>0</v>
      </c>
      <c r="O105" s="49"/>
      <c r="P105" s="358">
        <f>+SUBTOTAL(9,P101:P104)</f>
        <v>24000000</v>
      </c>
    </row>
    <row r="106" spans="2:20" s="3" customFormat="1" ht="24" customHeight="1" thickTop="1" thickBot="1" x14ac:dyDescent="0.35">
      <c r="B106" s="364"/>
      <c r="C106" s="365" t="s">
        <v>141</v>
      </c>
      <c r="D106" s="366"/>
      <c r="E106" s="367"/>
      <c r="F106" s="368"/>
      <c r="G106" s="369">
        <f>+G77+G90+G99+G105</f>
        <v>546500000</v>
      </c>
      <c r="H106" s="370"/>
      <c r="I106" s="371">
        <f>+I77+I90+I99+I105</f>
        <v>0</v>
      </c>
      <c r="J106" s="372"/>
      <c r="K106" s="371">
        <f>+K77+K90+K99+K105</f>
        <v>0</v>
      </c>
      <c r="L106" s="373"/>
      <c r="M106" s="371">
        <f>+M77+M90+M99+M105</f>
        <v>0</v>
      </c>
      <c r="N106" s="374">
        <f>+M106/G106</f>
        <v>0</v>
      </c>
      <c r="O106" s="375"/>
      <c r="P106" s="376">
        <f>+P77+P90+P99+P105</f>
        <v>546500000</v>
      </c>
    </row>
    <row r="107" spans="2:20" ht="20.25" customHeight="1" x14ac:dyDescent="0.25">
      <c r="B107" s="542" t="s">
        <v>139</v>
      </c>
      <c r="C107" s="543"/>
      <c r="D107" s="543"/>
      <c r="E107" s="543"/>
      <c r="F107" s="543"/>
      <c r="G107" s="543"/>
      <c r="H107" s="543"/>
      <c r="I107" s="543"/>
      <c r="J107" s="543"/>
      <c r="K107" s="543"/>
      <c r="L107" s="543"/>
      <c r="M107" s="543"/>
      <c r="N107" s="543"/>
      <c r="O107" s="543"/>
      <c r="P107" s="544"/>
    </row>
    <row r="108" spans="2:20" ht="22.9" customHeight="1" x14ac:dyDescent="0.25">
      <c r="B108" s="338" t="s">
        <v>106</v>
      </c>
      <c r="C108" s="339" t="s">
        <v>151</v>
      </c>
      <c r="D108" s="340"/>
      <c r="E108" s="341"/>
      <c r="F108" s="342"/>
      <c r="G108" s="343"/>
      <c r="H108" s="344"/>
      <c r="I108" s="345"/>
      <c r="J108" s="346"/>
      <c r="K108" s="347"/>
      <c r="L108" s="348"/>
      <c r="M108" s="347"/>
      <c r="N108" s="349"/>
      <c r="O108" s="350"/>
      <c r="P108" s="356"/>
    </row>
    <row r="109" spans="2:20" ht="13.5" x14ac:dyDescent="0.25">
      <c r="B109" s="27" t="s">
        <v>16</v>
      </c>
      <c r="C109" s="28" t="s">
        <v>0</v>
      </c>
      <c r="D109" s="179" t="s">
        <v>1</v>
      </c>
      <c r="E109" s="29" t="s">
        <v>2</v>
      </c>
      <c r="F109" s="336"/>
      <c r="G109" s="335"/>
      <c r="H109" s="30"/>
      <c r="I109" s="31"/>
      <c r="J109" s="32"/>
      <c r="K109" s="33"/>
      <c r="L109" s="34"/>
      <c r="M109" s="35"/>
      <c r="N109" s="36"/>
      <c r="O109" s="37"/>
      <c r="P109" s="357"/>
    </row>
    <row r="110" spans="2:20" ht="13.5" x14ac:dyDescent="0.25">
      <c r="B110" s="190" t="s">
        <v>17</v>
      </c>
      <c r="C110" s="92" t="s">
        <v>142</v>
      </c>
      <c r="D110" s="191" t="s">
        <v>61</v>
      </c>
      <c r="E110" s="192">
        <f>+Attachement!E105</f>
        <v>1</v>
      </c>
      <c r="F110" s="193">
        <v>8000000</v>
      </c>
      <c r="G110" s="184">
        <f t="shared" ref="G110:G116" si="104">+E110*F110</f>
        <v>8000000</v>
      </c>
      <c r="H110" s="38">
        <f>+Attachement!F105</f>
        <v>0</v>
      </c>
      <c r="I110" s="31"/>
      <c r="J110" s="265">
        <f>+Attachement!G105</f>
        <v>0</v>
      </c>
      <c r="K110" s="33">
        <f t="shared" ref="K110:K116" si="105">+J110*F110</f>
        <v>0</v>
      </c>
      <c r="L110" s="34">
        <f>+J110+H110</f>
        <v>0</v>
      </c>
      <c r="M110" s="35">
        <f t="shared" ref="M110:M116" si="106">+K110+I110</f>
        <v>0</v>
      </c>
      <c r="N110" s="36">
        <f t="shared" ref="N110:N116" si="107">+M110/G110</f>
        <v>0</v>
      </c>
      <c r="O110" s="37">
        <f>+E110-L110</f>
        <v>1</v>
      </c>
      <c r="P110" s="357">
        <f>+G110-M110</f>
        <v>8000000</v>
      </c>
      <c r="R110" s="257"/>
    </row>
    <row r="111" spans="2:20" ht="13.5" x14ac:dyDescent="0.25">
      <c r="B111" s="190" t="s">
        <v>18</v>
      </c>
      <c r="C111" s="92" t="s">
        <v>143</v>
      </c>
      <c r="D111" s="191" t="s">
        <v>78</v>
      </c>
      <c r="E111" s="192">
        <f>+Attachement!E106</f>
        <v>18000</v>
      </c>
      <c r="F111" s="193">
        <v>15000</v>
      </c>
      <c r="G111" s="184">
        <f t="shared" si="104"/>
        <v>270000000</v>
      </c>
      <c r="H111" s="38">
        <f>+Attachement!F106</f>
        <v>0</v>
      </c>
      <c r="I111" s="31"/>
      <c r="J111" s="265">
        <f>+Attachement!G106</f>
        <v>0</v>
      </c>
      <c r="K111" s="33">
        <f t="shared" si="105"/>
        <v>0</v>
      </c>
      <c r="L111" s="34">
        <f t="shared" ref="L111:L116" si="108">+J111+H111</f>
        <v>0</v>
      </c>
      <c r="M111" s="35">
        <f t="shared" si="106"/>
        <v>0</v>
      </c>
      <c r="N111" s="36">
        <f t="shared" si="107"/>
        <v>0</v>
      </c>
      <c r="O111" s="37">
        <f t="shared" ref="O111:O116" si="109">+E111-L111</f>
        <v>18000</v>
      </c>
      <c r="P111" s="357">
        <f t="shared" ref="P111:P116" si="110">+G111-M111</f>
        <v>270000000</v>
      </c>
      <c r="R111" s="257"/>
    </row>
    <row r="112" spans="2:20" ht="13.5" x14ac:dyDescent="0.25">
      <c r="B112" s="190" t="s">
        <v>19</v>
      </c>
      <c r="C112" s="92" t="s">
        <v>144</v>
      </c>
      <c r="D112" s="191" t="s">
        <v>78</v>
      </c>
      <c r="E112" s="192">
        <f>+Attachement!E107</f>
        <v>29700</v>
      </c>
      <c r="F112" s="193">
        <v>15000</v>
      </c>
      <c r="G112" s="184">
        <f t="shared" si="104"/>
        <v>445500000</v>
      </c>
      <c r="H112" s="38">
        <f>+Attachement!F107</f>
        <v>0</v>
      </c>
      <c r="I112" s="31"/>
      <c r="J112" s="265">
        <f>+Attachement!G107</f>
        <v>0</v>
      </c>
      <c r="K112" s="33">
        <f t="shared" si="105"/>
        <v>0</v>
      </c>
      <c r="L112" s="34">
        <f t="shared" si="108"/>
        <v>0</v>
      </c>
      <c r="M112" s="35">
        <f t="shared" si="106"/>
        <v>0</v>
      </c>
      <c r="N112" s="36">
        <f t="shared" si="107"/>
        <v>0</v>
      </c>
      <c r="O112" s="37">
        <f t="shared" si="109"/>
        <v>29700</v>
      </c>
      <c r="P112" s="357">
        <f t="shared" si="110"/>
        <v>445500000</v>
      </c>
      <c r="R112" s="257"/>
    </row>
    <row r="113" spans="2:20" ht="13.5" x14ac:dyDescent="0.25">
      <c r="B113" s="190" t="s">
        <v>20</v>
      </c>
      <c r="C113" s="92" t="s">
        <v>145</v>
      </c>
      <c r="D113" s="191" t="s">
        <v>101</v>
      </c>
      <c r="E113" s="192">
        <f>+Attachement!E108</f>
        <v>1</v>
      </c>
      <c r="F113" s="193">
        <v>8000000</v>
      </c>
      <c r="G113" s="184">
        <f t="shared" si="104"/>
        <v>8000000</v>
      </c>
      <c r="H113" s="38">
        <f>+Attachement!F108</f>
        <v>0</v>
      </c>
      <c r="I113" s="31"/>
      <c r="J113" s="265">
        <f>+Attachement!G108</f>
        <v>0</v>
      </c>
      <c r="K113" s="33">
        <f t="shared" si="105"/>
        <v>0</v>
      </c>
      <c r="L113" s="34">
        <f t="shared" si="108"/>
        <v>0</v>
      </c>
      <c r="M113" s="35">
        <f t="shared" si="106"/>
        <v>0</v>
      </c>
      <c r="N113" s="36">
        <f t="shared" si="107"/>
        <v>0</v>
      </c>
      <c r="O113" s="37">
        <f t="shared" si="109"/>
        <v>1</v>
      </c>
      <c r="P113" s="357">
        <f t="shared" si="110"/>
        <v>8000000</v>
      </c>
      <c r="R113" s="257"/>
    </row>
    <row r="114" spans="2:20" ht="13.5" x14ac:dyDescent="0.25">
      <c r="B114" s="190" t="s">
        <v>21</v>
      </c>
      <c r="C114" s="92" t="s">
        <v>146</v>
      </c>
      <c r="D114" s="191" t="s">
        <v>147</v>
      </c>
      <c r="E114" s="192">
        <f>+Attachement!E109</f>
        <v>1</v>
      </c>
      <c r="F114" s="193">
        <v>8000000</v>
      </c>
      <c r="G114" s="184">
        <f t="shared" si="104"/>
        <v>8000000</v>
      </c>
      <c r="H114" s="38">
        <f>+Attachement!F109</f>
        <v>0</v>
      </c>
      <c r="I114" s="31"/>
      <c r="J114" s="265">
        <f>+Attachement!G109</f>
        <v>0</v>
      </c>
      <c r="K114" s="33">
        <f t="shared" si="105"/>
        <v>0</v>
      </c>
      <c r="L114" s="34">
        <f t="shared" si="108"/>
        <v>0</v>
      </c>
      <c r="M114" s="35">
        <f t="shared" si="106"/>
        <v>0</v>
      </c>
      <c r="N114" s="36">
        <f t="shared" si="107"/>
        <v>0</v>
      </c>
      <c r="O114" s="37">
        <f t="shared" si="109"/>
        <v>1</v>
      </c>
      <c r="P114" s="357">
        <f t="shared" si="110"/>
        <v>8000000</v>
      </c>
      <c r="R114" s="257"/>
    </row>
    <row r="115" spans="2:20" ht="13.5" x14ac:dyDescent="0.25">
      <c r="B115" s="190" t="s">
        <v>22</v>
      </c>
      <c r="C115" s="92" t="s">
        <v>148</v>
      </c>
      <c r="D115" s="191" t="s">
        <v>149</v>
      </c>
      <c r="E115" s="192">
        <f>+Attachement!E110</f>
        <v>6</v>
      </c>
      <c r="F115" s="193">
        <v>8000000</v>
      </c>
      <c r="G115" s="184">
        <f t="shared" si="104"/>
        <v>48000000</v>
      </c>
      <c r="H115" s="38">
        <f>+Attachement!F110</f>
        <v>0</v>
      </c>
      <c r="I115" s="31"/>
      <c r="J115" s="265">
        <f>+Attachement!G110</f>
        <v>0</v>
      </c>
      <c r="K115" s="33">
        <f t="shared" si="105"/>
        <v>0</v>
      </c>
      <c r="L115" s="34">
        <f t="shared" si="108"/>
        <v>0</v>
      </c>
      <c r="M115" s="35">
        <f t="shared" si="106"/>
        <v>0</v>
      </c>
      <c r="N115" s="36">
        <f t="shared" si="107"/>
        <v>0</v>
      </c>
      <c r="O115" s="37">
        <f t="shared" si="109"/>
        <v>6</v>
      </c>
      <c r="P115" s="357">
        <f t="shared" si="110"/>
        <v>48000000</v>
      </c>
      <c r="R115" s="257"/>
    </row>
    <row r="116" spans="2:20" ht="26.25" customHeight="1" thickBot="1" x14ac:dyDescent="0.3">
      <c r="B116" s="190" t="s">
        <v>23</v>
      </c>
      <c r="C116" s="92" t="s">
        <v>150</v>
      </c>
      <c r="D116" s="191" t="s">
        <v>101</v>
      </c>
      <c r="E116" s="192">
        <f>+Attachement!E111</f>
        <v>1</v>
      </c>
      <c r="F116" s="193">
        <v>8000000</v>
      </c>
      <c r="G116" s="184">
        <f t="shared" si="104"/>
        <v>8000000</v>
      </c>
      <c r="H116" s="38">
        <f>+Attachement!F111</f>
        <v>0</v>
      </c>
      <c r="I116" s="31"/>
      <c r="J116" s="265">
        <f>+Attachement!G111</f>
        <v>0</v>
      </c>
      <c r="K116" s="33">
        <f t="shared" si="105"/>
        <v>0</v>
      </c>
      <c r="L116" s="34">
        <f t="shared" si="108"/>
        <v>0</v>
      </c>
      <c r="M116" s="35">
        <f t="shared" si="106"/>
        <v>0</v>
      </c>
      <c r="N116" s="36">
        <f t="shared" si="107"/>
        <v>0</v>
      </c>
      <c r="O116" s="37">
        <f t="shared" si="109"/>
        <v>1</v>
      </c>
      <c r="P116" s="357">
        <f t="shared" si="110"/>
        <v>8000000</v>
      </c>
      <c r="R116" s="257"/>
    </row>
    <row r="117" spans="2:20" ht="22.9" customHeight="1" thickBot="1" x14ac:dyDescent="0.3">
      <c r="B117" s="39"/>
      <c r="C117" s="40" t="s">
        <v>107</v>
      </c>
      <c r="D117" s="180"/>
      <c r="E117" s="41"/>
      <c r="F117" s="42"/>
      <c r="G117" s="185">
        <f>+SUBTOTAL(9,G109:G116)</f>
        <v>795500000</v>
      </c>
      <c r="H117" s="43"/>
      <c r="I117" s="44">
        <f>+SUBTOTAL(9,I109:I116)</f>
        <v>0</v>
      </c>
      <c r="J117" s="45"/>
      <c r="K117" s="46">
        <f>+SUBTOTAL(9,K109:K116)</f>
        <v>0</v>
      </c>
      <c r="L117" s="47"/>
      <c r="M117" s="44">
        <f>+SUBTOTAL(9,M109:M116)</f>
        <v>0</v>
      </c>
      <c r="N117" s="48">
        <f>+M117/G117</f>
        <v>0</v>
      </c>
      <c r="O117" s="49"/>
      <c r="P117" s="358">
        <f>+SUBTOTAL(9,P109:P116)</f>
        <v>795500000</v>
      </c>
    </row>
    <row r="118" spans="2:20" ht="22.9" customHeight="1" x14ac:dyDescent="0.25">
      <c r="B118" s="50">
        <v>100</v>
      </c>
      <c r="C118" s="17" t="s">
        <v>71</v>
      </c>
      <c r="D118" s="178"/>
      <c r="E118" s="19"/>
      <c r="F118" s="20"/>
      <c r="G118" s="183"/>
      <c r="H118" s="21"/>
      <c r="I118" s="22"/>
      <c r="J118" s="23"/>
      <c r="K118" s="24"/>
      <c r="L118" s="25"/>
      <c r="M118" s="51"/>
      <c r="N118" s="26"/>
      <c r="O118" s="52"/>
      <c r="P118" s="359"/>
    </row>
    <row r="119" spans="2:20" ht="13.5" x14ac:dyDescent="0.25">
      <c r="B119" s="55" t="s">
        <v>16</v>
      </c>
      <c r="C119" s="28" t="s">
        <v>0</v>
      </c>
      <c r="D119" s="179" t="s">
        <v>1</v>
      </c>
      <c r="E119" s="29" t="s">
        <v>2</v>
      </c>
      <c r="F119" s="334"/>
      <c r="G119" s="335"/>
      <c r="H119" s="30"/>
      <c r="I119" s="31"/>
      <c r="J119" s="32"/>
      <c r="K119" s="53"/>
      <c r="L119" s="34"/>
      <c r="M119" s="54"/>
      <c r="N119" s="36"/>
      <c r="O119" s="37"/>
      <c r="P119" s="360"/>
      <c r="R119" s="257"/>
      <c r="T119" s="257"/>
    </row>
    <row r="120" spans="2:20" ht="13.5" x14ac:dyDescent="0.25">
      <c r="B120" s="190">
        <v>101</v>
      </c>
      <c r="C120" s="92" t="s">
        <v>152</v>
      </c>
      <c r="D120" s="191" t="s">
        <v>101</v>
      </c>
      <c r="E120" s="192">
        <f>+Attachement!E115</f>
        <v>1</v>
      </c>
      <c r="F120" s="193">
        <v>25000000</v>
      </c>
      <c r="G120" s="184">
        <f t="shared" ref="G120:G122" si="111">+E120*F120</f>
        <v>25000000</v>
      </c>
      <c r="H120" s="38">
        <f>+Attachement!F115</f>
        <v>0</v>
      </c>
      <c r="I120" s="31">
        <f>H120*F120</f>
        <v>0</v>
      </c>
      <c r="J120" s="265">
        <f>+Attachement!G115</f>
        <v>0</v>
      </c>
      <c r="K120" s="33">
        <f t="shared" ref="K120:K122" si="112">+J120*F120</f>
        <v>0</v>
      </c>
      <c r="L120" s="34">
        <f t="shared" ref="L120:L122" si="113">+J120+H120</f>
        <v>0</v>
      </c>
      <c r="M120" s="35">
        <f t="shared" ref="M120:M122" si="114">+K120+I120</f>
        <v>0</v>
      </c>
      <c r="N120" s="36">
        <f t="shared" ref="N120:N122" si="115">+M120/G120</f>
        <v>0</v>
      </c>
      <c r="O120" s="37">
        <f>+E120-L120</f>
        <v>1</v>
      </c>
      <c r="P120" s="357">
        <f>+G120-M120</f>
        <v>25000000</v>
      </c>
      <c r="R120" s="257"/>
      <c r="T120" s="257"/>
    </row>
    <row r="121" spans="2:20" ht="13.5" x14ac:dyDescent="0.25">
      <c r="B121" s="190">
        <v>102</v>
      </c>
      <c r="C121" s="92" t="s">
        <v>153</v>
      </c>
      <c r="D121" s="191" t="s">
        <v>101</v>
      </c>
      <c r="E121" s="192">
        <f>+Attachement!E116</f>
        <v>1</v>
      </c>
      <c r="F121" s="193">
        <v>20000000</v>
      </c>
      <c r="G121" s="184">
        <f t="shared" si="111"/>
        <v>20000000</v>
      </c>
      <c r="H121" s="38">
        <f>+Attachement!F116</f>
        <v>0</v>
      </c>
      <c r="I121" s="31">
        <f t="shared" ref="I121:I122" si="116">H121*F121</f>
        <v>0</v>
      </c>
      <c r="J121" s="265">
        <f>+Attachement!G116</f>
        <v>0</v>
      </c>
      <c r="K121" s="33">
        <f t="shared" si="112"/>
        <v>0</v>
      </c>
      <c r="L121" s="34">
        <f t="shared" si="113"/>
        <v>0</v>
      </c>
      <c r="M121" s="35">
        <f t="shared" si="114"/>
        <v>0</v>
      </c>
      <c r="N121" s="36">
        <f t="shared" si="115"/>
        <v>0</v>
      </c>
      <c r="O121" s="37">
        <f t="shared" ref="O121:O122" si="117">+E121-L121</f>
        <v>1</v>
      </c>
      <c r="P121" s="357">
        <f t="shared" ref="P121:P122" si="118">+G121-M121</f>
        <v>20000000</v>
      </c>
      <c r="R121" s="257"/>
      <c r="T121" s="257"/>
    </row>
    <row r="122" spans="2:20" ht="14.25" thickBot="1" x14ac:dyDescent="0.3">
      <c r="B122" s="190">
        <v>103</v>
      </c>
      <c r="C122" s="92" t="s">
        <v>154</v>
      </c>
      <c r="D122" s="191" t="s">
        <v>155</v>
      </c>
      <c r="E122" s="192">
        <f>+Attachement!E117</f>
        <v>3500</v>
      </c>
      <c r="F122" s="193">
        <v>1950</v>
      </c>
      <c r="G122" s="184">
        <f t="shared" si="111"/>
        <v>6825000</v>
      </c>
      <c r="H122" s="38">
        <f>+Attachement!F117</f>
        <v>0</v>
      </c>
      <c r="I122" s="31">
        <f t="shared" si="116"/>
        <v>0</v>
      </c>
      <c r="J122" s="265">
        <f>+Attachement!G117</f>
        <v>0</v>
      </c>
      <c r="K122" s="33">
        <f t="shared" si="112"/>
        <v>0</v>
      </c>
      <c r="L122" s="34">
        <f t="shared" si="113"/>
        <v>0</v>
      </c>
      <c r="M122" s="35">
        <f t="shared" si="114"/>
        <v>0</v>
      </c>
      <c r="N122" s="36">
        <f t="shared" si="115"/>
        <v>0</v>
      </c>
      <c r="O122" s="37">
        <f t="shared" si="117"/>
        <v>3500</v>
      </c>
      <c r="P122" s="357">
        <f t="shared" si="118"/>
        <v>6825000</v>
      </c>
      <c r="R122" s="257"/>
      <c r="T122" s="257"/>
    </row>
    <row r="123" spans="2:20" ht="22.9" customHeight="1" thickBot="1" x14ac:dyDescent="0.3">
      <c r="B123" s="39"/>
      <c r="C123" s="40" t="s">
        <v>108</v>
      </c>
      <c r="D123" s="180"/>
      <c r="E123" s="41"/>
      <c r="F123" s="42"/>
      <c r="G123" s="185">
        <f>+SUBTOTAL(9,G119:G122)</f>
        <v>51825000</v>
      </c>
      <c r="H123" s="43"/>
      <c r="I123" s="44">
        <f>+SUBTOTAL(9,I119:I122)</f>
        <v>0</v>
      </c>
      <c r="J123" s="45"/>
      <c r="K123" s="46">
        <f>+SUBTOTAL(9,K119:K122)</f>
        <v>0</v>
      </c>
      <c r="L123" s="47"/>
      <c r="M123" s="44">
        <f>+SUBTOTAL(9,M119:M122)</f>
        <v>0</v>
      </c>
      <c r="N123" s="48">
        <f>+M123/G123</f>
        <v>0</v>
      </c>
      <c r="O123" s="49"/>
      <c r="P123" s="358">
        <f>+SUBTOTAL(9,P119:P122)</f>
        <v>51825000</v>
      </c>
    </row>
    <row r="124" spans="2:20" ht="22.9" customHeight="1" x14ac:dyDescent="0.25">
      <c r="B124" s="50">
        <v>200</v>
      </c>
      <c r="C124" s="17" t="s">
        <v>80</v>
      </c>
      <c r="D124" s="178"/>
      <c r="E124" s="19"/>
      <c r="F124" s="20"/>
      <c r="G124" s="183"/>
      <c r="H124" s="21"/>
      <c r="I124" s="22"/>
      <c r="J124" s="23"/>
      <c r="K124" s="24"/>
      <c r="L124" s="25"/>
      <c r="M124" s="51"/>
      <c r="N124" s="26"/>
      <c r="O124" s="52"/>
      <c r="P124" s="359"/>
    </row>
    <row r="125" spans="2:20" ht="13.5" x14ac:dyDescent="0.25">
      <c r="B125" s="55" t="s">
        <v>16</v>
      </c>
      <c r="C125" s="28" t="s">
        <v>0</v>
      </c>
      <c r="D125" s="179" t="s">
        <v>1</v>
      </c>
      <c r="E125" s="29" t="s">
        <v>2</v>
      </c>
      <c r="F125" s="334"/>
      <c r="G125" s="335"/>
      <c r="H125" s="30"/>
      <c r="I125" s="31"/>
      <c r="J125" s="32"/>
      <c r="K125" s="53"/>
      <c r="L125" s="34"/>
      <c r="M125" s="54"/>
      <c r="N125" s="36"/>
      <c r="O125" s="37"/>
      <c r="P125" s="360"/>
    </row>
    <row r="126" spans="2:20" x14ac:dyDescent="0.25">
      <c r="B126" s="93">
        <v>201</v>
      </c>
      <c r="C126" s="92" t="s">
        <v>156</v>
      </c>
      <c r="D126" s="94" t="s">
        <v>24</v>
      </c>
      <c r="E126" s="181">
        <f>+Attachement!E121</f>
        <v>1300</v>
      </c>
      <c r="F126" s="105">
        <v>2350</v>
      </c>
      <c r="G126" s="184">
        <f t="shared" ref="G126:G129" si="119">+E126*F126</f>
        <v>3055000</v>
      </c>
      <c r="H126" s="38">
        <f>+Attachement!F121</f>
        <v>0</v>
      </c>
      <c r="I126" s="31">
        <f t="shared" ref="I126:I129" si="120">H126*F126</f>
        <v>0</v>
      </c>
      <c r="J126" s="266">
        <f>+Attachement!G121</f>
        <v>0</v>
      </c>
      <c r="K126" s="33">
        <f t="shared" ref="K126:K129" si="121">+J126*F126</f>
        <v>0</v>
      </c>
      <c r="L126" s="34">
        <f t="shared" ref="L126:L129" si="122">+J126+H126</f>
        <v>0</v>
      </c>
      <c r="M126" s="35">
        <f t="shared" ref="M126:M129" si="123">+K126+I126</f>
        <v>0</v>
      </c>
      <c r="N126" s="36">
        <f t="shared" ref="N126:N129" si="124">+M126/G126</f>
        <v>0</v>
      </c>
      <c r="O126" s="37">
        <f t="shared" ref="O126" si="125">+E126-L126</f>
        <v>1300</v>
      </c>
      <c r="P126" s="357">
        <f t="shared" ref="P126:P129" si="126">+G126-M126</f>
        <v>3055000</v>
      </c>
      <c r="R126" s="258"/>
      <c r="T126" s="258"/>
    </row>
    <row r="127" spans="2:20" ht="27" x14ac:dyDescent="0.25">
      <c r="B127" s="93">
        <v>202</v>
      </c>
      <c r="C127" s="92" t="s">
        <v>74</v>
      </c>
      <c r="D127" s="94" t="s">
        <v>73</v>
      </c>
      <c r="E127" s="181">
        <f>+Attachement!E122</f>
        <v>450</v>
      </c>
      <c r="F127" s="106">
        <v>35000</v>
      </c>
      <c r="G127" s="184">
        <f t="shared" si="119"/>
        <v>15750000</v>
      </c>
      <c r="H127" s="38">
        <f>+Attachement!F122</f>
        <v>0</v>
      </c>
      <c r="I127" s="31">
        <f t="shared" si="120"/>
        <v>0</v>
      </c>
      <c r="J127" s="266">
        <f>+Attachement!G122</f>
        <v>0</v>
      </c>
      <c r="K127" s="33">
        <f t="shared" si="121"/>
        <v>0</v>
      </c>
      <c r="L127" s="34">
        <f t="shared" si="122"/>
        <v>0</v>
      </c>
      <c r="M127" s="35">
        <f t="shared" si="123"/>
        <v>0</v>
      </c>
      <c r="N127" s="36">
        <f t="shared" si="124"/>
        <v>0</v>
      </c>
      <c r="O127" s="200"/>
      <c r="P127" s="357">
        <f t="shared" si="126"/>
        <v>15750000</v>
      </c>
      <c r="R127" s="258"/>
      <c r="T127" s="258"/>
    </row>
    <row r="128" spans="2:20" ht="27" x14ac:dyDescent="0.25">
      <c r="B128" s="93">
        <v>203</v>
      </c>
      <c r="C128" s="92" t="s">
        <v>75</v>
      </c>
      <c r="D128" s="94" t="s">
        <v>73</v>
      </c>
      <c r="E128" s="181">
        <f>+Attachement!E123</f>
        <v>420</v>
      </c>
      <c r="F128" s="106">
        <v>2350</v>
      </c>
      <c r="G128" s="184">
        <f t="shared" si="119"/>
        <v>987000</v>
      </c>
      <c r="H128" s="38">
        <f>+Attachement!F123</f>
        <v>0</v>
      </c>
      <c r="I128" s="31">
        <f t="shared" si="120"/>
        <v>0</v>
      </c>
      <c r="J128" s="266">
        <f>+Attachement!G123</f>
        <v>0</v>
      </c>
      <c r="K128" s="33">
        <f t="shared" si="121"/>
        <v>0</v>
      </c>
      <c r="L128" s="34">
        <f t="shared" si="122"/>
        <v>0</v>
      </c>
      <c r="M128" s="35">
        <f t="shared" si="123"/>
        <v>0</v>
      </c>
      <c r="N128" s="36">
        <f t="shared" si="124"/>
        <v>0</v>
      </c>
      <c r="O128" s="37">
        <f t="shared" ref="O128:O129" si="127">+E128-L128</f>
        <v>420</v>
      </c>
      <c r="P128" s="357">
        <f t="shared" si="126"/>
        <v>987000</v>
      </c>
      <c r="R128" s="258"/>
      <c r="T128" s="258"/>
    </row>
    <row r="129" spans="2:20" ht="27.75" thickBot="1" x14ac:dyDescent="0.3">
      <c r="B129" s="93">
        <v>206</v>
      </c>
      <c r="C129" s="92" t="s">
        <v>157</v>
      </c>
      <c r="D129" s="94" t="s">
        <v>73</v>
      </c>
      <c r="E129" s="181">
        <f>+Attachement!E124</f>
        <v>550</v>
      </c>
      <c r="F129" s="106">
        <v>25000</v>
      </c>
      <c r="G129" s="184">
        <f t="shared" si="119"/>
        <v>13750000</v>
      </c>
      <c r="H129" s="38">
        <f>+Attachement!F124</f>
        <v>0</v>
      </c>
      <c r="I129" s="31">
        <f t="shared" si="120"/>
        <v>0</v>
      </c>
      <c r="J129" s="266">
        <f>+Attachement!G124</f>
        <v>0</v>
      </c>
      <c r="K129" s="33">
        <f t="shared" si="121"/>
        <v>0</v>
      </c>
      <c r="L129" s="34">
        <f t="shared" si="122"/>
        <v>0</v>
      </c>
      <c r="M129" s="35">
        <f t="shared" si="123"/>
        <v>0</v>
      </c>
      <c r="N129" s="36">
        <f t="shared" si="124"/>
        <v>0</v>
      </c>
      <c r="O129" s="37">
        <f t="shared" si="127"/>
        <v>550</v>
      </c>
      <c r="P129" s="357">
        <f t="shared" si="126"/>
        <v>13750000</v>
      </c>
      <c r="R129" s="258"/>
      <c r="T129" s="258"/>
    </row>
    <row r="130" spans="2:20" ht="22.9" customHeight="1" thickBot="1" x14ac:dyDescent="0.3">
      <c r="B130" s="39"/>
      <c r="C130" s="40" t="s">
        <v>109</v>
      </c>
      <c r="D130" s="180"/>
      <c r="E130" s="41"/>
      <c r="F130" s="42"/>
      <c r="G130" s="185">
        <f>+SUBTOTAL(9,G125:G129)</f>
        <v>33542000</v>
      </c>
      <c r="H130" s="43"/>
      <c r="I130" s="44">
        <f>+SUBTOTAL(9,I125:I129)</f>
        <v>0</v>
      </c>
      <c r="J130" s="45"/>
      <c r="K130" s="46">
        <f>+SUBTOTAL(9,K125:K129)</f>
        <v>0</v>
      </c>
      <c r="L130" s="47"/>
      <c r="M130" s="44">
        <f>+SUBTOTAL(9,M125:M129)</f>
        <v>0</v>
      </c>
      <c r="N130" s="48">
        <f>+M130/G130</f>
        <v>0</v>
      </c>
      <c r="O130" s="49"/>
      <c r="P130" s="358">
        <f>+SUBTOTAL(9,P125:P129)</f>
        <v>33542000</v>
      </c>
    </row>
    <row r="131" spans="2:20" ht="22.9" customHeight="1" x14ac:dyDescent="0.25">
      <c r="B131" s="50">
        <v>300</v>
      </c>
      <c r="C131" s="17" t="s">
        <v>158</v>
      </c>
      <c r="D131" s="178"/>
      <c r="E131" s="19"/>
      <c r="F131" s="20"/>
      <c r="G131" s="183"/>
      <c r="H131" s="21"/>
      <c r="I131" s="22"/>
      <c r="J131" s="23"/>
      <c r="K131" s="24"/>
      <c r="L131" s="25"/>
      <c r="M131" s="51"/>
      <c r="N131" s="26"/>
      <c r="O131" s="52"/>
      <c r="P131" s="359"/>
    </row>
    <row r="132" spans="2:20" ht="13.5" x14ac:dyDescent="0.25">
      <c r="B132" s="55" t="s">
        <v>16</v>
      </c>
      <c r="C132" s="28" t="s">
        <v>0</v>
      </c>
      <c r="D132" s="179" t="s">
        <v>1</v>
      </c>
      <c r="E132" s="29" t="s">
        <v>2</v>
      </c>
      <c r="F132" s="334"/>
      <c r="G132" s="335"/>
      <c r="H132" s="30"/>
      <c r="I132" s="31"/>
      <c r="J132" s="32"/>
      <c r="K132" s="53"/>
      <c r="L132" s="34"/>
      <c r="M132" s="54"/>
      <c r="N132" s="36"/>
      <c r="O132" s="37"/>
      <c r="P132" s="360"/>
    </row>
    <row r="133" spans="2:20" x14ac:dyDescent="0.25">
      <c r="B133" s="91">
        <v>301</v>
      </c>
      <c r="C133" s="92" t="s">
        <v>159</v>
      </c>
      <c r="D133" s="94" t="s">
        <v>24</v>
      </c>
      <c r="E133" s="181">
        <f>+Attachement!E128</f>
        <v>47</v>
      </c>
      <c r="F133" s="106">
        <v>17400</v>
      </c>
      <c r="G133" s="184">
        <f t="shared" ref="G133:G139" si="128">+E133*F133</f>
        <v>817800</v>
      </c>
      <c r="H133" s="38">
        <f>+Attachement!F128</f>
        <v>0</v>
      </c>
      <c r="I133" s="31">
        <f t="shared" ref="I133:I139" si="129">H133*F133</f>
        <v>0</v>
      </c>
      <c r="J133" s="265">
        <f>+Attachement!G128</f>
        <v>0</v>
      </c>
      <c r="K133" s="33">
        <f t="shared" ref="K133:K139" si="130">+J133*F133</f>
        <v>0</v>
      </c>
      <c r="L133" s="34">
        <f t="shared" ref="L133:L139" si="131">+J133+H133</f>
        <v>0</v>
      </c>
      <c r="M133" s="35">
        <f t="shared" ref="M133:M139" si="132">+K133+I133</f>
        <v>0</v>
      </c>
      <c r="N133" s="36">
        <f t="shared" ref="N133:N139" si="133">+M133/G133</f>
        <v>0</v>
      </c>
      <c r="O133" s="37">
        <f t="shared" ref="O133:O139" si="134">+E133-L133</f>
        <v>47</v>
      </c>
      <c r="P133" s="357">
        <f t="shared" ref="P133:P139" si="135">+G133-M133</f>
        <v>817800</v>
      </c>
      <c r="R133" s="259"/>
      <c r="T133" s="258"/>
    </row>
    <row r="134" spans="2:20" x14ac:dyDescent="0.25">
      <c r="B134" s="91">
        <v>302</v>
      </c>
      <c r="C134" s="92" t="s">
        <v>160</v>
      </c>
      <c r="D134" s="95" t="s">
        <v>24</v>
      </c>
      <c r="E134" s="181">
        <f>+Attachement!E129</f>
        <v>110</v>
      </c>
      <c r="F134" s="106">
        <v>25000</v>
      </c>
      <c r="G134" s="184">
        <f t="shared" ref="G134:G136" si="136">+E134*F134</f>
        <v>2750000</v>
      </c>
      <c r="H134" s="38">
        <f>+Attachement!F129</f>
        <v>0</v>
      </c>
      <c r="I134" s="31">
        <f t="shared" ref="I134:I136" si="137">H134*F134</f>
        <v>0</v>
      </c>
      <c r="J134" s="265">
        <f>+Attachement!G129</f>
        <v>0</v>
      </c>
      <c r="K134" s="33">
        <f t="shared" ref="K134:K136" si="138">+J134*F134</f>
        <v>0</v>
      </c>
      <c r="L134" s="34">
        <f t="shared" ref="L134:L136" si="139">+J134+H134</f>
        <v>0</v>
      </c>
      <c r="M134" s="35">
        <f t="shared" ref="M134:M136" si="140">+K134+I134</f>
        <v>0</v>
      </c>
      <c r="N134" s="36">
        <f t="shared" ref="N134:N136" si="141">+M134/G134</f>
        <v>0</v>
      </c>
      <c r="O134" s="37">
        <f t="shared" ref="O134:O136" si="142">+E134-L134</f>
        <v>110</v>
      </c>
      <c r="P134" s="357">
        <f t="shared" ref="P134:P136" si="143">+G134-M134</f>
        <v>2750000</v>
      </c>
    </row>
    <row r="135" spans="2:20" x14ac:dyDescent="0.25">
      <c r="B135" s="91">
        <v>303</v>
      </c>
      <c r="C135" s="92" t="s">
        <v>161</v>
      </c>
      <c r="D135" s="94" t="s">
        <v>24</v>
      </c>
      <c r="E135" s="181">
        <f>+Attachement!E130</f>
        <v>152</v>
      </c>
      <c r="F135" s="106">
        <v>29000</v>
      </c>
      <c r="G135" s="184">
        <f t="shared" si="136"/>
        <v>4408000</v>
      </c>
      <c r="H135" s="38">
        <f>+Attachement!F130</f>
        <v>0</v>
      </c>
      <c r="I135" s="31">
        <f t="shared" si="137"/>
        <v>0</v>
      </c>
      <c r="J135" s="265">
        <f>+Attachement!G130</f>
        <v>0</v>
      </c>
      <c r="K135" s="33">
        <f t="shared" si="138"/>
        <v>0</v>
      </c>
      <c r="L135" s="34">
        <f t="shared" si="139"/>
        <v>0</v>
      </c>
      <c r="M135" s="35">
        <f t="shared" si="140"/>
        <v>0</v>
      </c>
      <c r="N135" s="36">
        <f t="shared" si="141"/>
        <v>0</v>
      </c>
      <c r="O135" s="37">
        <f t="shared" si="142"/>
        <v>152</v>
      </c>
      <c r="P135" s="357">
        <f t="shared" si="143"/>
        <v>4408000</v>
      </c>
      <c r="R135" s="259"/>
      <c r="T135" s="258"/>
    </row>
    <row r="136" spans="2:20" x14ac:dyDescent="0.25">
      <c r="B136" s="91">
        <v>304</v>
      </c>
      <c r="C136" s="92" t="s">
        <v>162</v>
      </c>
      <c r="D136" s="94" t="s">
        <v>24</v>
      </c>
      <c r="E136" s="181">
        <f>+Attachement!E131</f>
        <v>110</v>
      </c>
      <c r="F136" s="106">
        <v>29000</v>
      </c>
      <c r="G136" s="184">
        <f t="shared" si="136"/>
        <v>3190000</v>
      </c>
      <c r="H136" s="38">
        <f>+Attachement!F131</f>
        <v>0</v>
      </c>
      <c r="I136" s="31">
        <f t="shared" si="137"/>
        <v>0</v>
      </c>
      <c r="J136" s="265">
        <f>+Attachement!G131</f>
        <v>0</v>
      </c>
      <c r="K136" s="33">
        <f t="shared" si="138"/>
        <v>0</v>
      </c>
      <c r="L136" s="34">
        <f t="shared" si="139"/>
        <v>0</v>
      </c>
      <c r="M136" s="35">
        <f t="shared" si="140"/>
        <v>0</v>
      </c>
      <c r="N136" s="36">
        <f t="shared" si="141"/>
        <v>0</v>
      </c>
      <c r="O136" s="37">
        <f t="shared" si="142"/>
        <v>110</v>
      </c>
      <c r="P136" s="357">
        <f t="shared" si="143"/>
        <v>3190000</v>
      </c>
    </row>
    <row r="137" spans="2:20" x14ac:dyDescent="0.25">
      <c r="B137" s="91">
        <v>305</v>
      </c>
      <c r="C137" s="92" t="s">
        <v>163</v>
      </c>
      <c r="D137" s="94" t="s">
        <v>24</v>
      </c>
      <c r="E137" s="181">
        <f>+Attachement!E132</f>
        <v>127</v>
      </c>
      <c r="F137" s="106">
        <v>29000</v>
      </c>
      <c r="G137" s="184">
        <f t="shared" si="128"/>
        <v>3683000</v>
      </c>
      <c r="H137" s="38">
        <f>+Attachement!F132</f>
        <v>0</v>
      </c>
      <c r="I137" s="31">
        <f t="shared" si="129"/>
        <v>0</v>
      </c>
      <c r="J137" s="265">
        <f>+Attachement!G132</f>
        <v>0</v>
      </c>
      <c r="K137" s="33">
        <f t="shared" si="130"/>
        <v>0</v>
      </c>
      <c r="L137" s="34">
        <f t="shared" si="131"/>
        <v>0</v>
      </c>
      <c r="M137" s="35">
        <f t="shared" si="132"/>
        <v>0</v>
      </c>
      <c r="N137" s="36">
        <f t="shared" si="133"/>
        <v>0</v>
      </c>
      <c r="O137" s="37">
        <f t="shared" si="134"/>
        <v>127</v>
      </c>
      <c r="P137" s="357">
        <f t="shared" si="135"/>
        <v>3683000</v>
      </c>
    </row>
    <row r="138" spans="2:20" x14ac:dyDescent="0.25">
      <c r="B138" s="91">
        <v>306</v>
      </c>
      <c r="C138" s="92" t="s">
        <v>164</v>
      </c>
      <c r="D138" s="95" t="s">
        <v>73</v>
      </c>
      <c r="E138" s="181">
        <f>+Attachement!E133</f>
        <v>159</v>
      </c>
      <c r="F138" s="106">
        <v>1800</v>
      </c>
      <c r="G138" s="184">
        <f t="shared" si="128"/>
        <v>286200</v>
      </c>
      <c r="H138" s="38">
        <f>+Attachement!F133</f>
        <v>0</v>
      </c>
      <c r="I138" s="31">
        <f t="shared" si="129"/>
        <v>0</v>
      </c>
      <c r="J138" s="265">
        <f>+Attachement!G133</f>
        <v>0</v>
      </c>
      <c r="K138" s="33">
        <f t="shared" si="130"/>
        <v>0</v>
      </c>
      <c r="L138" s="34">
        <f t="shared" si="131"/>
        <v>0</v>
      </c>
      <c r="M138" s="35">
        <f t="shared" si="132"/>
        <v>0</v>
      </c>
      <c r="N138" s="36">
        <f t="shared" si="133"/>
        <v>0</v>
      </c>
      <c r="O138" s="37">
        <f t="shared" si="134"/>
        <v>159</v>
      </c>
      <c r="P138" s="357">
        <f t="shared" si="135"/>
        <v>286200</v>
      </c>
    </row>
    <row r="139" spans="2:20" ht="17.25" thickBot="1" x14ac:dyDescent="0.3">
      <c r="B139" s="91">
        <v>307</v>
      </c>
      <c r="C139" s="92" t="s">
        <v>165</v>
      </c>
      <c r="D139" s="94" t="s">
        <v>101</v>
      </c>
      <c r="E139" s="181">
        <f>+Attachement!E134</f>
        <v>1</v>
      </c>
      <c r="F139" s="106">
        <v>32000000</v>
      </c>
      <c r="G139" s="184">
        <f t="shared" si="128"/>
        <v>32000000</v>
      </c>
      <c r="H139" s="38">
        <f>+Attachement!F134</f>
        <v>0</v>
      </c>
      <c r="I139" s="31">
        <f t="shared" si="129"/>
        <v>0</v>
      </c>
      <c r="J139" s="265">
        <f>+Attachement!G134</f>
        <v>0</v>
      </c>
      <c r="K139" s="33">
        <f t="shared" si="130"/>
        <v>0</v>
      </c>
      <c r="L139" s="34">
        <f t="shared" si="131"/>
        <v>0</v>
      </c>
      <c r="M139" s="35">
        <f t="shared" si="132"/>
        <v>0</v>
      </c>
      <c r="N139" s="36">
        <f t="shared" si="133"/>
        <v>0</v>
      </c>
      <c r="O139" s="37">
        <f t="shared" si="134"/>
        <v>1</v>
      </c>
      <c r="P139" s="357">
        <f t="shared" si="135"/>
        <v>32000000</v>
      </c>
      <c r="R139" s="259"/>
      <c r="T139" s="258"/>
    </row>
    <row r="140" spans="2:20" ht="22.9" customHeight="1" thickBot="1" x14ac:dyDescent="0.3">
      <c r="B140" s="39"/>
      <c r="C140" s="40" t="s">
        <v>110</v>
      </c>
      <c r="D140" s="180"/>
      <c r="E140" s="41"/>
      <c r="F140" s="42"/>
      <c r="G140" s="185">
        <f>+SUBTOTAL(9,G132:G139)</f>
        <v>47135000</v>
      </c>
      <c r="H140" s="43"/>
      <c r="I140" s="44">
        <f>+SUBTOTAL(9,I132:I139)</f>
        <v>0</v>
      </c>
      <c r="J140" s="45"/>
      <c r="K140" s="46">
        <f>+SUBTOTAL(9,K132:K139)</f>
        <v>0</v>
      </c>
      <c r="L140" s="47"/>
      <c r="M140" s="44">
        <f>+SUBTOTAL(9,M132:M139)</f>
        <v>0</v>
      </c>
      <c r="N140" s="48">
        <f>+M140/G140</f>
        <v>0</v>
      </c>
      <c r="O140" s="49"/>
      <c r="P140" s="358">
        <f>+SUBTOTAL(9,P132:P139)</f>
        <v>47135000</v>
      </c>
    </row>
    <row r="141" spans="2:20" ht="22.9" customHeight="1" x14ac:dyDescent="0.25">
      <c r="B141" s="50">
        <v>400</v>
      </c>
      <c r="C141" s="17" t="s">
        <v>174</v>
      </c>
      <c r="D141" s="178"/>
      <c r="E141" s="19"/>
      <c r="F141" s="20"/>
      <c r="G141" s="183"/>
      <c r="H141" s="21"/>
      <c r="I141" s="22"/>
      <c r="J141" s="23"/>
      <c r="K141" s="24"/>
      <c r="L141" s="25"/>
      <c r="M141" s="51"/>
      <c r="N141" s="26"/>
      <c r="O141" s="52"/>
      <c r="P141" s="359"/>
    </row>
    <row r="142" spans="2:20" ht="13.5" x14ac:dyDescent="0.25">
      <c r="B142" s="55" t="s">
        <v>16</v>
      </c>
      <c r="C142" s="28" t="s">
        <v>0</v>
      </c>
      <c r="D142" s="179" t="s">
        <v>1</v>
      </c>
      <c r="E142" s="29" t="s">
        <v>2</v>
      </c>
      <c r="F142" s="334"/>
      <c r="G142" s="335"/>
      <c r="H142" s="30"/>
      <c r="I142" s="31"/>
      <c r="J142" s="32"/>
      <c r="K142" s="53"/>
      <c r="L142" s="34"/>
      <c r="M142" s="54"/>
      <c r="N142" s="36"/>
      <c r="O142" s="37"/>
      <c r="P142" s="360"/>
    </row>
    <row r="143" spans="2:20" ht="13.5" x14ac:dyDescent="0.25">
      <c r="B143" s="93">
        <v>401</v>
      </c>
      <c r="C143" s="92" t="s">
        <v>166</v>
      </c>
      <c r="D143" s="187" t="s">
        <v>24</v>
      </c>
      <c r="E143" s="188">
        <f>+Attachement!E138</f>
        <v>10</v>
      </c>
      <c r="F143" s="189">
        <v>12000</v>
      </c>
      <c r="G143" s="186">
        <f t="shared" ref="G143:G150" si="144">+E143*F143</f>
        <v>120000</v>
      </c>
      <c r="H143" s="38">
        <f>+Attachement!F138</f>
        <v>0</v>
      </c>
      <c r="I143" s="31">
        <f t="shared" ref="I143:I150" si="145">H143*F143</f>
        <v>0</v>
      </c>
      <c r="J143" s="264">
        <f>+Attachement!G138</f>
        <v>0</v>
      </c>
      <c r="K143" s="33">
        <f t="shared" ref="K143:K150" si="146">+J143*F143</f>
        <v>0</v>
      </c>
      <c r="L143" s="34">
        <f t="shared" ref="L143:L150" si="147">+J143+H143</f>
        <v>0</v>
      </c>
      <c r="M143" s="35">
        <f t="shared" ref="M143:M150" si="148">+K143+I143</f>
        <v>0</v>
      </c>
      <c r="N143" s="36">
        <f t="shared" ref="N143:N146" si="149">+M143/G143</f>
        <v>0</v>
      </c>
      <c r="O143" s="37">
        <f t="shared" ref="O143:O150" si="150">+E143-L143</f>
        <v>10</v>
      </c>
      <c r="P143" s="357">
        <f t="shared" ref="P143:P150" si="151">+G143-M143</f>
        <v>120000</v>
      </c>
    </row>
    <row r="144" spans="2:20" ht="13.5" x14ac:dyDescent="0.25">
      <c r="B144" s="93">
        <v>402</v>
      </c>
      <c r="C144" s="92" t="s">
        <v>167</v>
      </c>
      <c r="D144" s="187" t="s">
        <v>73</v>
      </c>
      <c r="E144" s="188">
        <f>+Attachement!E139</f>
        <v>51</v>
      </c>
      <c r="F144" s="189">
        <v>150000</v>
      </c>
      <c r="G144" s="186">
        <f t="shared" si="144"/>
        <v>7650000</v>
      </c>
      <c r="H144" s="38">
        <f>+Attachement!F139</f>
        <v>0</v>
      </c>
      <c r="I144" s="31">
        <f t="shared" si="145"/>
        <v>0</v>
      </c>
      <c r="J144" s="264">
        <f>+Attachement!G139</f>
        <v>0</v>
      </c>
      <c r="K144" s="33">
        <f t="shared" si="146"/>
        <v>0</v>
      </c>
      <c r="L144" s="34">
        <f t="shared" si="147"/>
        <v>0</v>
      </c>
      <c r="M144" s="35">
        <f t="shared" si="148"/>
        <v>0</v>
      </c>
      <c r="N144" s="36">
        <f t="shared" si="149"/>
        <v>0</v>
      </c>
      <c r="O144" s="37">
        <f t="shared" si="150"/>
        <v>51</v>
      </c>
      <c r="P144" s="357">
        <f t="shared" si="151"/>
        <v>7650000</v>
      </c>
    </row>
    <row r="145" spans="2:16" ht="13.5" x14ac:dyDescent="0.25">
      <c r="B145" s="93">
        <v>403</v>
      </c>
      <c r="C145" s="92" t="s">
        <v>168</v>
      </c>
      <c r="D145" s="187" t="s">
        <v>73</v>
      </c>
      <c r="E145" s="188">
        <f>+Attachement!E140</f>
        <v>153</v>
      </c>
      <c r="F145" s="189">
        <v>150000</v>
      </c>
      <c r="G145" s="186">
        <f t="shared" si="144"/>
        <v>22950000</v>
      </c>
      <c r="H145" s="38">
        <f>+Attachement!F140</f>
        <v>0</v>
      </c>
      <c r="I145" s="31">
        <f t="shared" si="145"/>
        <v>0</v>
      </c>
      <c r="J145" s="264">
        <f>+Attachement!G140</f>
        <v>0</v>
      </c>
      <c r="K145" s="33">
        <f t="shared" si="146"/>
        <v>0</v>
      </c>
      <c r="L145" s="34">
        <f t="shared" si="147"/>
        <v>0</v>
      </c>
      <c r="M145" s="35">
        <f t="shared" si="148"/>
        <v>0</v>
      </c>
      <c r="N145" s="36">
        <f t="shared" si="149"/>
        <v>0</v>
      </c>
      <c r="O145" s="37">
        <f t="shared" si="150"/>
        <v>153</v>
      </c>
      <c r="P145" s="357">
        <f t="shared" si="151"/>
        <v>22950000</v>
      </c>
    </row>
    <row r="146" spans="2:16" ht="13.5" x14ac:dyDescent="0.25">
      <c r="B146" s="93">
        <v>404</v>
      </c>
      <c r="C146" s="92" t="s">
        <v>169</v>
      </c>
      <c r="D146" s="187" t="s">
        <v>73</v>
      </c>
      <c r="E146" s="188">
        <f>+Attachement!E141</f>
        <v>198</v>
      </c>
      <c r="F146" s="189">
        <v>150000</v>
      </c>
      <c r="G146" s="186">
        <f t="shared" si="144"/>
        <v>29700000</v>
      </c>
      <c r="H146" s="38">
        <f>+Attachement!F141</f>
        <v>0</v>
      </c>
      <c r="I146" s="31">
        <f t="shared" si="145"/>
        <v>0</v>
      </c>
      <c r="J146" s="264">
        <f>+Attachement!G141</f>
        <v>0</v>
      </c>
      <c r="K146" s="33">
        <f t="shared" si="146"/>
        <v>0</v>
      </c>
      <c r="L146" s="34">
        <f t="shared" si="147"/>
        <v>0</v>
      </c>
      <c r="M146" s="35">
        <f t="shared" si="148"/>
        <v>0</v>
      </c>
      <c r="N146" s="36">
        <f t="shared" si="149"/>
        <v>0</v>
      </c>
      <c r="O146" s="37">
        <f t="shared" si="150"/>
        <v>198</v>
      </c>
      <c r="P146" s="357">
        <f t="shared" si="151"/>
        <v>29700000</v>
      </c>
    </row>
    <row r="147" spans="2:16" ht="13.5" x14ac:dyDescent="0.25">
      <c r="B147" s="93">
        <v>405</v>
      </c>
      <c r="C147" s="92" t="s">
        <v>170</v>
      </c>
      <c r="D147" s="187" t="s">
        <v>73</v>
      </c>
      <c r="E147" s="188">
        <f>+Attachement!E142</f>
        <v>41</v>
      </c>
      <c r="F147" s="189">
        <v>150000</v>
      </c>
      <c r="G147" s="186">
        <f t="shared" si="144"/>
        <v>6150000</v>
      </c>
      <c r="H147" s="38">
        <f>+Attachement!F142</f>
        <v>0</v>
      </c>
      <c r="I147" s="31">
        <f t="shared" si="145"/>
        <v>0</v>
      </c>
      <c r="J147" s="264">
        <f>+Attachement!G142</f>
        <v>0</v>
      </c>
      <c r="K147" s="33">
        <f t="shared" si="146"/>
        <v>0</v>
      </c>
      <c r="L147" s="34">
        <f t="shared" si="147"/>
        <v>0</v>
      </c>
      <c r="M147" s="35">
        <f t="shared" si="148"/>
        <v>0</v>
      </c>
      <c r="N147" s="36"/>
      <c r="O147" s="37">
        <f t="shared" si="150"/>
        <v>41</v>
      </c>
      <c r="P147" s="357">
        <f t="shared" si="151"/>
        <v>6150000</v>
      </c>
    </row>
    <row r="148" spans="2:16" ht="13.5" x14ac:dyDescent="0.25">
      <c r="B148" s="93">
        <v>406</v>
      </c>
      <c r="C148" s="92" t="s">
        <v>171</v>
      </c>
      <c r="D148" s="187" t="s">
        <v>73</v>
      </c>
      <c r="E148" s="188">
        <f>+Attachement!E143</f>
        <v>3</v>
      </c>
      <c r="F148" s="189">
        <v>150000</v>
      </c>
      <c r="G148" s="186">
        <f t="shared" si="144"/>
        <v>450000</v>
      </c>
      <c r="H148" s="38">
        <f>+Attachement!F143</f>
        <v>0</v>
      </c>
      <c r="I148" s="31">
        <f t="shared" si="145"/>
        <v>0</v>
      </c>
      <c r="J148" s="264">
        <f>+Attachement!G143</f>
        <v>0</v>
      </c>
      <c r="K148" s="33">
        <f t="shared" si="146"/>
        <v>0</v>
      </c>
      <c r="L148" s="34">
        <f t="shared" si="147"/>
        <v>0</v>
      </c>
      <c r="M148" s="35">
        <f t="shared" si="148"/>
        <v>0</v>
      </c>
      <c r="N148" s="36"/>
      <c r="O148" s="37">
        <f t="shared" si="150"/>
        <v>3</v>
      </c>
      <c r="P148" s="357">
        <f t="shared" si="151"/>
        <v>450000</v>
      </c>
    </row>
    <row r="149" spans="2:16" ht="13.5" x14ac:dyDescent="0.25">
      <c r="B149" s="93">
        <v>407</v>
      </c>
      <c r="C149" s="92" t="s">
        <v>172</v>
      </c>
      <c r="D149" s="187" t="s">
        <v>73</v>
      </c>
      <c r="E149" s="188">
        <f>+Attachement!E144</f>
        <v>411</v>
      </c>
      <c r="F149" s="189">
        <v>150000</v>
      </c>
      <c r="G149" s="186">
        <f t="shared" si="144"/>
        <v>61650000</v>
      </c>
      <c r="H149" s="38">
        <f>+Attachement!F144</f>
        <v>0</v>
      </c>
      <c r="I149" s="31">
        <f t="shared" si="145"/>
        <v>0</v>
      </c>
      <c r="J149" s="264">
        <f>+Attachement!G144</f>
        <v>0</v>
      </c>
      <c r="K149" s="33">
        <f t="shared" si="146"/>
        <v>0</v>
      </c>
      <c r="L149" s="34">
        <f t="shared" si="147"/>
        <v>0</v>
      </c>
      <c r="M149" s="35">
        <f t="shared" si="148"/>
        <v>0</v>
      </c>
      <c r="N149" s="36"/>
      <c r="O149" s="37">
        <f t="shared" si="150"/>
        <v>411</v>
      </c>
      <c r="P149" s="357">
        <f t="shared" si="151"/>
        <v>61650000</v>
      </c>
    </row>
    <row r="150" spans="2:16" ht="14.25" thickBot="1" x14ac:dyDescent="0.3">
      <c r="B150" s="93">
        <v>408</v>
      </c>
      <c r="C150" s="92" t="s">
        <v>173</v>
      </c>
      <c r="D150" s="187" t="s">
        <v>73</v>
      </c>
      <c r="E150" s="188">
        <f>+Attachement!E145</f>
        <v>20</v>
      </c>
      <c r="F150" s="189">
        <v>150000</v>
      </c>
      <c r="G150" s="186">
        <f t="shared" si="144"/>
        <v>3000000</v>
      </c>
      <c r="H150" s="38">
        <f>+Attachement!F145</f>
        <v>0</v>
      </c>
      <c r="I150" s="31">
        <f t="shared" si="145"/>
        <v>0</v>
      </c>
      <c r="J150" s="264">
        <f>+Attachement!G145</f>
        <v>0</v>
      </c>
      <c r="K150" s="33">
        <f t="shared" si="146"/>
        <v>0</v>
      </c>
      <c r="L150" s="34">
        <f t="shared" si="147"/>
        <v>0</v>
      </c>
      <c r="M150" s="35">
        <f t="shared" si="148"/>
        <v>0</v>
      </c>
      <c r="N150" s="36"/>
      <c r="O150" s="37">
        <f t="shared" si="150"/>
        <v>20</v>
      </c>
      <c r="P150" s="357">
        <f t="shared" si="151"/>
        <v>3000000</v>
      </c>
    </row>
    <row r="151" spans="2:16" ht="17.25" thickBot="1" x14ac:dyDescent="0.3">
      <c r="B151" s="39"/>
      <c r="C151" s="40" t="s">
        <v>111</v>
      </c>
      <c r="D151" s="180"/>
      <c r="E151" s="41"/>
      <c r="F151" s="42"/>
      <c r="G151" s="185">
        <f>+SUBTOTAL(9,G143:G150)</f>
        <v>131670000</v>
      </c>
      <c r="H151" s="43"/>
      <c r="I151" s="44">
        <f>+SUBTOTAL(9,I143:I150)</f>
        <v>0</v>
      </c>
      <c r="J151" s="45"/>
      <c r="K151" s="46">
        <f>+SUBTOTAL(9,K143:K150)</f>
        <v>0</v>
      </c>
      <c r="L151" s="47"/>
      <c r="M151" s="44">
        <f>+SUBTOTAL(9,M143:M150)</f>
        <v>0</v>
      </c>
      <c r="N151" s="48">
        <f>+M151/G151</f>
        <v>0</v>
      </c>
      <c r="O151" s="49"/>
      <c r="P151" s="358">
        <f>+SUBTOTAL(9,P143:P150)</f>
        <v>131670000</v>
      </c>
    </row>
    <row r="152" spans="2:16" ht="23.1" customHeight="1" x14ac:dyDescent="0.25">
      <c r="B152" s="50">
        <v>500</v>
      </c>
      <c r="C152" s="17" t="s">
        <v>175</v>
      </c>
      <c r="D152" s="178"/>
      <c r="E152" s="19"/>
      <c r="F152" s="20"/>
      <c r="G152" s="183"/>
      <c r="H152" s="21"/>
      <c r="I152" s="22"/>
      <c r="J152" s="23"/>
      <c r="K152" s="24"/>
      <c r="L152" s="25"/>
      <c r="M152" s="51"/>
      <c r="N152" s="26"/>
      <c r="O152" s="52"/>
      <c r="P152" s="359"/>
    </row>
    <row r="153" spans="2:16" ht="13.5" x14ac:dyDescent="0.25">
      <c r="B153" s="328" t="s">
        <v>16</v>
      </c>
      <c r="C153" s="329" t="s">
        <v>0</v>
      </c>
      <c r="D153" s="330" t="s">
        <v>1</v>
      </c>
      <c r="E153" s="331" t="s">
        <v>2</v>
      </c>
      <c r="F153" s="332"/>
      <c r="G153" s="333"/>
      <c r="H153" s="30"/>
      <c r="I153" s="31"/>
      <c r="J153" s="32"/>
      <c r="K153" s="53"/>
      <c r="L153" s="34"/>
      <c r="M153" s="54"/>
      <c r="N153" s="36"/>
      <c r="O153" s="37"/>
      <c r="P153" s="360"/>
    </row>
    <row r="154" spans="2:16" ht="13.5" x14ac:dyDescent="0.25">
      <c r="B154" s="93">
        <v>501</v>
      </c>
      <c r="C154" s="92" t="s">
        <v>176</v>
      </c>
      <c r="D154" s="187" t="s">
        <v>128</v>
      </c>
      <c r="E154" s="188">
        <f>+Attachement!E149</f>
        <v>9000</v>
      </c>
      <c r="F154" s="189">
        <v>1500</v>
      </c>
      <c r="G154" s="186">
        <f t="shared" ref="G154:G160" si="152">+E154*F154</f>
        <v>13500000</v>
      </c>
      <c r="H154" s="38">
        <f>+Attachement!F149</f>
        <v>0</v>
      </c>
      <c r="I154" s="31">
        <f t="shared" ref="I154:I160" si="153">H154*F154</f>
        <v>0</v>
      </c>
      <c r="J154" s="264">
        <f>+Attachement!G149</f>
        <v>0</v>
      </c>
      <c r="K154" s="33">
        <f>+J154*F154</f>
        <v>0</v>
      </c>
      <c r="L154" s="34">
        <f t="shared" ref="L154:L160" si="154">+J154+H154</f>
        <v>0</v>
      </c>
      <c r="M154" s="35">
        <f t="shared" ref="M154:M160" si="155">+K154+I154</f>
        <v>0</v>
      </c>
      <c r="N154" s="36">
        <f>+M154/G154</f>
        <v>0</v>
      </c>
      <c r="O154" s="37">
        <f t="shared" ref="O154:O160" si="156">+E154-L154</f>
        <v>9000</v>
      </c>
      <c r="P154" s="357">
        <f t="shared" ref="P154:P160" si="157">+G154-M154</f>
        <v>13500000</v>
      </c>
    </row>
    <row r="155" spans="2:16" ht="13.5" x14ac:dyDescent="0.25">
      <c r="B155" s="93">
        <v>501</v>
      </c>
      <c r="C155" s="92" t="s">
        <v>177</v>
      </c>
      <c r="D155" s="187" t="s">
        <v>128</v>
      </c>
      <c r="E155" s="188">
        <f>+Attachement!E150</f>
        <v>22100</v>
      </c>
      <c r="F155" s="189">
        <v>1500</v>
      </c>
      <c r="G155" s="186">
        <f t="shared" ref="G155:G157" si="158">+E155*F155</f>
        <v>33150000</v>
      </c>
      <c r="H155" s="38">
        <f>+Attachement!F150</f>
        <v>0</v>
      </c>
      <c r="I155" s="31">
        <f t="shared" ref="I155:I157" si="159">H155*F155</f>
        <v>0</v>
      </c>
      <c r="J155" s="264">
        <f>+Attachement!G150</f>
        <v>0</v>
      </c>
      <c r="K155" s="33">
        <f t="shared" ref="K155:K157" si="160">+J155*F155</f>
        <v>0</v>
      </c>
      <c r="L155" s="34">
        <f t="shared" ref="L155:L157" si="161">+J155+H155</f>
        <v>0</v>
      </c>
      <c r="M155" s="35">
        <f t="shared" ref="M155:M157" si="162">+K155+I155</f>
        <v>0</v>
      </c>
      <c r="N155" s="36">
        <f t="shared" ref="N155" si="163">+M155/G155</f>
        <v>0</v>
      </c>
      <c r="O155" s="37">
        <f t="shared" ref="O155:O157" si="164">+E155-L155</f>
        <v>22100</v>
      </c>
      <c r="P155" s="357">
        <f t="shared" ref="P155:P157" si="165">+G155-M155</f>
        <v>33150000</v>
      </c>
    </row>
    <row r="156" spans="2:16" ht="13.5" x14ac:dyDescent="0.25">
      <c r="B156" s="93">
        <v>501</v>
      </c>
      <c r="C156" s="92" t="s">
        <v>178</v>
      </c>
      <c r="D156" s="187" t="s">
        <v>128</v>
      </c>
      <c r="E156" s="188">
        <f>+Attachement!E151</f>
        <v>27130</v>
      </c>
      <c r="F156" s="189">
        <v>1500</v>
      </c>
      <c r="G156" s="186">
        <f t="shared" si="158"/>
        <v>40695000</v>
      </c>
      <c r="H156" s="38">
        <f>+Attachement!F151</f>
        <v>0</v>
      </c>
      <c r="I156" s="31">
        <f t="shared" si="159"/>
        <v>0</v>
      </c>
      <c r="J156" s="264">
        <f>+Attachement!G151</f>
        <v>0</v>
      </c>
      <c r="K156" s="33">
        <f t="shared" si="160"/>
        <v>0</v>
      </c>
      <c r="L156" s="34">
        <f t="shared" si="161"/>
        <v>0</v>
      </c>
      <c r="M156" s="35">
        <f t="shared" si="162"/>
        <v>0</v>
      </c>
      <c r="N156" s="36"/>
      <c r="O156" s="37">
        <f t="shared" si="164"/>
        <v>27130</v>
      </c>
      <c r="P156" s="357">
        <f t="shared" si="165"/>
        <v>40695000</v>
      </c>
    </row>
    <row r="157" spans="2:16" ht="13.5" x14ac:dyDescent="0.25">
      <c r="B157" s="93">
        <v>501</v>
      </c>
      <c r="C157" s="92" t="s">
        <v>179</v>
      </c>
      <c r="D157" s="187" t="s">
        <v>128</v>
      </c>
      <c r="E157" s="188">
        <f>+Attachement!E152</f>
        <v>5453</v>
      </c>
      <c r="F157" s="189">
        <v>1500</v>
      </c>
      <c r="G157" s="186">
        <f t="shared" si="158"/>
        <v>8179500</v>
      </c>
      <c r="H157" s="38">
        <f>+Attachement!F152</f>
        <v>0</v>
      </c>
      <c r="I157" s="31">
        <f t="shared" si="159"/>
        <v>0</v>
      </c>
      <c r="J157" s="264">
        <f>+Attachement!G152</f>
        <v>0</v>
      </c>
      <c r="K157" s="33">
        <f t="shared" si="160"/>
        <v>0</v>
      </c>
      <c r="L157" s="34">
        <f t="shared" si="161"/>
        <v>0</v>
      </c>
      <c r="M157" s="35">
        <f t="shared" si="162"/>
        <v>0</v>
      </c>
      <c r="N157" s="36"/>
      <c r="O157" s="37">
        <f t="shared" si="164"/>
        <v>5453</v>
      </c>
      <c r="P157" s="357">
        <f t="shared" si="165"/>
        <v>8179500</v>
      </c>
    </row>
    <row r="158" spans="2:16" ht="13.5" x14ac:dyDescent="0.25">
      <c r="B158" s="93">
        <v>501</v>
      </c>
      <c r="C158" s="92" t="s">
        <v>180</v>
      </c>
      <c r="D158" s="187" t="s">
        <v>128</v>
      </c>
      <c r="E158" s="188">
        <f>+Attachement!E153</f>
        <v>475</v>
      </c>
      <c r="F158" s="189">
        <v>1500</v>
      </c>
      <c r="G158" s="186">
        <f t="shared" si="152"/>
        <v>712500</v>
      </c>
      <c r="H158" s="38">
        <f>+Attachement!F153</f>
        <v>0</v>
      </c>
      <c r="I158" s="31">
        <f t="shared" si="153"/>
        <v>0</v>
      </c>
      <c r="J158" s="264">
        <f>+Attachement!G153</f>
        <v>0</v>
      </c>
      <c r="K158" s="33">
        <f t="shared" ref="K154:K160" si="166">+J158*F158</f>
        <v>0</v>
      </c>
      <c r="L158" s="34">
        <f t="shared" si="154"/>
        <v>0</v>
      </c>
      <c r="M158" s="35">
        <f t="shared" si="155"/>
        <v>0</v>
      </c>
      <c r="N158" s="36">
        <f t="shared" ref="N158:N159" si="167">+M158/G158</f>
        <v>0</v>
      </c>
      <c r="O158" s="37">
        <f t="shared" si="156"/>
        <v>475</v>
      </c>
      <c r="P158" s="357">
        <f t="shared" si="157"/>
        <v>712500</v>
      </c>
    </row>
    <row r="159" spans="2:16" ht="13.5" x14ac:dyDescent="0.25">
      <c r="B159" s="93">
        <v>501</v>
      </c>
      <c r="C159" s="92" t="s">
        <v>181</v>
      </c>
      <c r="D159" s="187" t="s">
        <v>128</v>
      </c>
      <c r="E159" s="188">
        <f>+Attachement!E154</f>
        <v>7956</v>
      </c>
      <c r="F159" s="189">
        <v>1500</v>
      </c>
      <c r="G159" s="186">
        <f t="shared" si="152"/>
        <v>11934000</v>
      </c>
      <c r="H159" s="38">
        <f>+Attachement!F154</f>
        <v>0</v>
      </c>
      <c r="I159" s="31">
        <f t="shared" si="153"/>
        <v>0</v>
      </c>
      <c r="J159" s="264">
        <f>+Attachement!G154</f>
        <v>0</v>
      </c>
      <c r="K159" s="33">
        <f t="shared" si="166"/>
        <v>0</v>
      </c>
      <c r="L159" s="34">
        <f t="shared" si="154"/>
        <v>0</v>
      </c>
      <c r="M159" s="35">
        <f t="shared" si="155"/>
        <v>0</v>
      </c>
      <c r="N159" s="36">
        <f t="shared" si="167"/>
        <v>0</v>
      </c>
      <c r="O159" s="37">
        <f t="shared" si="156"/>
        <v>7956</v>
      </c>
      <c r="P159" s="357">
        <f t="shared" si="157"/>
        <v>11934000</v>
      </c>
    </row>
    <row r="160" spans="2:16" ht="14.25" thickBot="1" x14ac:dyDescent="0.3">
      <c r="B160" s="93">
        <v>501</v>
      </c>
      <c r="C160" s="92" t="s">
        <v>182</v>
      </c>
      <c r="D160" s="187" t="s">
        <v>128</v>
      </c>
      <c r="E160" s="188">
        <f>+Attachement!E155</f>
        <v>3256</v>
      </c>
      <c r="F160" s="189">
        <v>1500</v>
      </c>
      <c r="G160" s="186">
        <f t="shared" si="152"/>
        <v>4884000</v>
      </c>
      <c r="H160" s="38">
        <f>+Attachement!F155</f>
        <v>0</v>
      </c>
      <c r="I160" s="31">
        <f t="shared" si="153"/>
        <v>0</v>
      </c>
      <c r="J160" s="264">
        <f>+Attachement!G155</f>
        <v>0</v>
      </c>
      <c r="K160" s="33">
        <f t="shared" si="166"/>
        <v>0</v>
      </c>
      <c r="L160" s="34">
        <f t="shared" si="154"/>
        <v>0</v>
      </c>
      <c r="M160" s="35">
        <f t="shared" si="155"/>
        <v>0</v>
      </c>
      <c r="N160" s="36"/>
      <c r="O160" s="37">
        <f t="shared" si="156"/>
        <v>3256</v>
      </c>
      <c r="P160" s="357">
        <f t="shared" si="157"/>
        <v>4884000</v>
      </c>
    </row>
    <row r="161" spans="2:20" ht="17.25" thickBot="1" x14ac:dyDescent="0.3">
      <c r="B161" s="39"/>
      <c r="C161" s="40" t="s">
        <v>112</v>
      </c>
      <c r="D161" s="180"/>
      <c r="E161" s="41"/>
      <c r="F161" s="42"/>
      <c r="G161" s="185">
        <f>+SUBTOTAL(9,G153:G160)</f>
        <v>113055000</v>
      </c>
      <c r="H161" s="43"/>
      <c r="I161" s="44">
        <f>+SUBTOTAL(9,I153:I160)</f>
        <v>0</v>
      </c>
      <c r="J161" s="45"/>
      <c r="K161" s="46">
        <f>+SUBTOTAL(9,K153:K160)</f>
        <v>0</v>
      </c>
      <c r="L161" s="47"/>
      <c r="M161" s="44">
        <f>+SUBTOTAL(9,M153:M160)</f>
        <v>0</v>
      </c>
      <c r="N161" s="48">
        <f>+M161/G161</f>
        <v>0</v>
      </c>
      <c r="O161" s="49"/>
      <c r="P161" s="358">
        <f>+SUBTOTAL(9,P153:P160)</f>
        <v>113055000</v>
      </c>
    </row>
    <row r="162" spans="2:20" ht="23.1" customHeight="1" x14ac:dyDescent="0.25">
      <c r="B162" s="50">
        <v>600</v>
      </c>
      <c r="C162" s="17" t="s">
        <v>103</v>
      </c>
      <c r="D162" s="178"/>
      <c r="E162" s="19"/>
      <c r="F162" s="20"/>
      <c r="G162" s="183"/>
      <c r="H162" s="21"/>
      <c r="I162" s="22"/>
      <c r="J162" s="23"/>
      <c r="K162" s="24"/>
      <c r="L162" s="25"/>
      <c r="M162" s="51"/>
      <c r="N162" s="26"/>
      <c r="O162" s="52"/>
      <c r="P162" s="359"/>
    </row>
    <row r="163" spans="2:20" ht="13.5" x14ac:dyDescent="0.25">
      <c r="B163" s="328" t="s">
        <v>16</v>
      </c>
      <c r="C163" s="329" t="s">
        <v>0</v>
      </c>
      <c r="D163" s="330" t="s">
        <v>1</v>
      </c>
      <c r="E163" s="331" t="s">
        <v>2</v>
      </c>
      <c r="F163" s="332"/>
      <c r="G163" s="333"/>
      <c r="H163" s="30"/>
      <c r="I163" s="31"/>
      <c r="J163" s="32"/>
      <c r="K163" s="53"/>
      <c r="L163" s="34"/>
      <c r="M163" s="54"/>
      <c r="N163" s="36"/>
      <c r="O163" s="37"/>
      <c r="P163" s="360"/>
    </row>
    <row r="164" spans="2:20" ht="13.5" x14ac:dyDescent="0.25">
      <c r="B164" s="93">
        <v>601</v>
      </c>
      <c r="C164" s="92" t="s">
        <v>183</v>
      </c>
      <c r="D164" s="95" t="s">
        <v>101</v>
      </c>
      <c r="E164" s="181">
        <f>+Attachement!E159</f>
        <v>1</v>
      </c>
      <c r="F164" s="106">
        <v>60000000</v>
      </c>
      <c r="G164" s="186">
        <f t="shared" ref="G164:G175" si="168">+E164*F164</f>
        <v>60000000</v>
      </c>
      <c r="H164" s="38">
        <f>+Attachement!F159</f>
        <v>0</v>
      </c>
      <c r="I164" s="31">
        <f t="shared" ref="I164:I175" si="169">H164*F164</f>
        <v>0</v>
      </c>
      <c r="J164" s="263">
        <f>+Attachement!G159</f>
        <v>0</v>
      </c>
      <c r="K164" s="33">
        <f t="shared" ref="K164:K175" si="170">+J164*F164</f>
        <v>0</v>
      </c>
      <c r="L164" s="34">
        <f t="shared" ref="L164:L175" si="171">+J164+H164</f>
        <v>0</v>
      </c>
      <c r="M164" s="35">
        <f t="shared" ref="M164:M175" si="172">+K164+I164</f>
        <v>0</v>
      </c>
      <c r="N164" s="36">
        <f t="shared" ref="N164" si="173">+M164/G164</f>
        <v>0</v>
      </c>
      <c r="O164" s="37">
        <f t="shared" ref="O164:O175" si="174">+E164-L164</f>
        <v>1</v>
      </c>
      <c r="P164" s="357">
        <f t="shared" ref="P164:P175" si="175">+G164-M164</f>
        <v>60000000</v>
      </c>
      <c r="R164" s="258"/>
      <c r="T164" s="255"/>
    </row>
    <row r="165" spans="2:20" ht="13.5" x14ac:dyDescent="0.25">
      <c r="B165" s="93">
        <v>602</v>
      </c>
      <c r="C165" s="92" t="s">
        <v>105</v>
      </c>
      <c r="D165" s="95" t="s">
        <v>48</v>
      </c>
      <c r="E165" s="181">
        <f>+Attachement!E160</f>
        <v>1</v>
      </c>
      <c r="F165" s="106">
        <v>80000000</v>
      </c>
      <c r="G165" s="186">
        <f t="shared" si="168"/>
        <v>80000000</v>
      </c>
      <c r="H165" s="38">
        <f>+Attachement!F160</f>
        <v>0</v>
      </c>
      <c r="I165" s="31">
        <f t="shared" si="169"/>
        <v>0</v>
      </c>
      <c r="J165" s="263">
        <f>+Attachement!G160</f>
        <v>0</v>
      </c>
      <c r="K165" s="33">
        <f t="shared" si="170"/>
        <v>0</v>
      </c>
      <c r="L165" s="34">
        <f t="shared" si="171"/>
        <v>0</v>
      </c>
      <c r="M165" s="35">
        <f t="shared" si="172"/>
        <v>0</v>
      </c>
      <c r="N165" s="36"/>
      <c r="O165" s="37">
        <f t="shared" si="174"/>
        <v>1</v>
      </c>
      <c r="P165" s="357">
        <f t="shared" si="175"/>
        <v>80000000</v>
      </c>
      <c r="R165" s="258"/>
      <c r="T165" s="255"/>
    </row>
    <row r="166" spans="2:20" ht="13.5" x14ac:dyDescent="0.25">
      <c r="B166" s="93">
        <v>603</v>
      </c>
      <c r="C166" s="92" t="s">
        <v>184</v>
      </c>
      <c r="D166" s="95" t="s">
        <v>101</v>
      </c>
      <c r="E166" s="181">
        <f>+Attachement!E161</f>
        <v>1</v>
      </c>
      <c r="F166" s="106">
        <v>1000000000</v>
      </c>
      <c r="G166" s="186">
        <f t="shared" ref="G166:G174" si="176">+E166*F166</f>
        <v>1000000000</v>
      </c>
      <c r="H166" s="38">
        <f>+Attachement!F161</f>
        <v>0</v>
      </c>
      <c r="I166" s="31">
        <f t="shared" ref="I166:I174" si="177">H166*F166</f>
        <v>0</v>
      </c>
      <c r="J166" s="263">
        <f>+Attachement!G161</f>
        <v>0</v>
      </c>
      <c r="K166" s="33">
        <f t="shared" ref="K166:K174" si="178">+J166*F166</f>
        <v>0</v>
      </c>
      <c r="L166" s="34">
        <f t="shared" ref="L166:L174" si="179">+J166+H166</f>
        <v>0</v>
      </c>
      <c r="M166" s="35">
        <f t="shared" ref="M166:M174" si="180">+K166+I166</f>
        <v>0</v>
      </c>
      <c r="N166" s="36">
        <f t="shared" ref="N166" si="181">+M166/G166</f>
        <v>0</v>
      </c>
      <c r="O166" s="37">
        <f t="shared" ref="O166:O174" si="182">+E166-L166</f>
        <v>1</v>
      </c>
      <c r="P166" s="357">
        <f t="shared" ref="P166:P174" si="183">+G166-M166</f>
        <v>1000000000</v>
      </c>
      <c r="R166" s="258"/>
      <c r="T166" s="255"/>
    </row>
    <row r="167" spans="2:20" ht="13.5" x14ac:dyDescent="0.25">
      <c r="B167" s="93"/>
      <c r="C167" s="92" t="s">
        <v>185</v>
      </c>
      <c r="D167" s="95"/>
      <c r="E167" s="181"/>
      <c r="F167" s="106"/>
      <c r="G167" s="186">
        <f t="shared" ref="G167:G171" si="184">+E167*F167</f>
        <v>0</v>
      </c>
      <c r="H167" s="38">
        <f>+Attachement!F165</f>
        <v>0</v>
      </c>
      <c r="I167" s="31">
        <f t="shared" ref="I167:I171" si="185">H167*F167</f>
        <v>0</v>
      </c>
      <c r="J167" s="263">
        <f>+Attachement!G165</f>
        <v>0</v>
      </c>
      <c r="K167" s="33">
        <f t="shared" ref="K167:K171" si="186">+J167*F167</f>
        <v>0</v>
      </c>
      <c r="L167" s="34">
        <f t="shared" ref="L167:L171" si="187">+J167+H167</f>
        <v>0</v>
      </c>
      <c r="M167" s="35">
        <f t="shared" ref="M167:M171" si="188">+K167+I167</f>
        <v>0</v>
      </c>
      <c r="N167" s="36"/>
      <c r="O167" s="37">
        <f t="shared" ref="O167:O171" si="189">+E167-L167</f>
        <v>0</v>
      </c>
      <c r="P167" s="357">
        <f t="shared" ref="P167:P171" si="190">+G167-M167</f>
        <v>0</v>
      </c>
      <c r="R167" s="258"/>
      <c r="T167" s="255"/>
    </row>
    <row r="168" spans="2:20" ht="13.5" x14ac:dyDescent="0.25">
      <c r="B168" s="93"/>
      <c r="C168" s="92" t="s">
        <v>186</v>
      </c>
      <c r="D168" s="95"/>
      <c r="E168" s="181"/>
      <c r="F168" s="106"/>
      <c r="G168" s="186">
        <f t="shared" si="184"/>
        <v>0</v>
      </c>
      <c r="H168" s="38">
        <f>+Attachement!F166</f>
        <v>0</v>
      </c>
      <c r="I168" s="31">
        <f t="shared" si="185"/>
        <v>0</v>
      </c>
      <c r="J168" s="263">
        <f>+Attachement!G166</f>
        <v>0</v>
      </c>
      <c r="K168" s="33">
        <f t="shared" si="186"/>
        <v>0</v>
      </c>
      <c r="L168" s="34">
        <f t="shared" si="187"/>
        <v>0</v>
      </c>
      <c r="M168" s="35">
        <f t="shared" si="188"/>
        <v>0</v>
      </c>
      <c r="N168" s="36"/>
      <c r="O168" s="37">
        <f t="shared" si="189"/>
        <v>0</v>
      </c>
      <c r="P168" s="357">
        <f t="shared" si="190"/>
        <v>0</v>
      </c>
      <c r="R168" s="258"/>
      <c r="T168" s="255"/>
    </row>
    <row r="169" spans="2:20" ht="13.5" x14ac:dyDescent="0.25">
      <c r="B169" s="93"/>
      <c r="C169" s="92" t="s">
        <v>187</v>
      </c>
      <c r="D169" s="95"/>
      <c r="E169" s="181"/>
      <c r="F169" s="106"/>
      <c r="G169" s="186">
        <f t="shared" si="184"/>
        <v>0</v>
      </c>
      <c r="H169" s="38">
        <f>+Attachement!F167</f>
        <v>0</v>
      </c>
      <c r="I169" s="31">
        <f t="shared" si="185"/>
        <v>0</v>
      </c>
      <c r="J169" s="263">
        <f>+Attachement!G167</f>
        <v>0</v>
      </c>
      <c r="K169" s="33">
        <f t="shared" si="186"/>
        <v>0</v>
      </c>
      <c r="L169" s="34">
        <f t="shared" si="187"/>
        <v>0</v>
      </c>
      <c r="M169" s="35">
        <f t="shared" si="188"/>
        <v>0</v>
      </c>
      <c r="N169" s="36"/>
      <c r="O169" s="37">
        <f t="shared" si="189"/>
        <v>0</v>
      </c>
      <c r="P169" s="357">
        <f t="shared" si="190"/>
        <v>0</v>
      </c>
      <c r="R169" s="258"/>
      <c r="T169" s="255"/>
    </row>
    <row r="170" spans="2:20" ht="13.5" x14ac:dyDescent="0.25">
      <c r="B170" s="93"/>
      <c r="C170" s="92" t="s">
        <v>188</v>
      </c>
      <c r="D170" s="95"/>
      <c r="E170" s="181"/>
      <c r="F170" s="106"/>
      <c r="G170" s="186">
        <f t="shared" si="184"/>
        <v>0</v>
      </c>
      <c r="H170" s="38">
        <f>+Attachement!F168</f>
        <v>0</v>
      </c>
      <c r="I170" s="31">
        <f t="shared" si="185"/>
        <v>0</v>
      </c>
      <c r="J170" s="263">
        <f>+Attachement!G168</f>
        <v>0</v>
      </c>
      <c r="K170" s="33">
        <f t="shared" si="186"/>
        <v>0</v>
      </c>
      <c r="L170" s="34">
        <f t="shared" si="187"/>
        <v>0</v>
      </c>
      <c r="M170" s="35">
        <f t="shared" si="188"/>
        <v>0</v>
      </c>
      <c r="N170" s="36"/>
      <c r="O170" s="37">
        <f t="shared" si="189"/>
        <v>0</v>
      </c>
      <c r="P170" s="357">
        <f t="shared" si="190"/>
        <v>0</v>
      </c>
      <c r="R170" s="258"/>
      <c r="T170" s="255"/>
    </row>
    <row r="171" spans="2:20" ht="13.5" x14ac:dyDescent="0.25">
      <c r="B171" s="93"/>
      <c r="C171" s="92" t="s">
        <v>189</v>
      </c>
      <c r="D171" s="95"/>
      <c r="E171" s="181"/>
      <c r="F171" s="106"/>
      <c r="G171" s="186">
        <f t="shared" si="184"/>
        <v>0</v>
      </c>
      <c r="H171" s="38">
        <f>+Attachement!F169</f>
        <v>0</v>
      </c>
      <c r="I171" s="31">
        <f t="shared" si="185"/>
        <v>0</v>
      </c>
      <c r="J171" s="263">
        <f>+Attachement!G169</f>
        <v>0</v>
      </c>
      <c r="K171" s="33">
        <f t="shared" si="186"/>
        <v>0</v>
      </c>
      <c r="L171" s="34">
        <f t="shared" si="187"/>
        <v>0</v>
      </c>
      <c r="M171" s="35">
        <f t="shared" si="188"/>
        <v>0</v>
      </c>
      <c r="N171" s="36"/>
      <c r="O171" s="37">
        <f t="shared" si="189"/>
        <v>0</v>
      </c>
      <c r="P171" s="357">
        <f t="shared" si="190"/>
        <v>0</v>
      </c>
      <c r="R171" s="258"/>
      <c r="T171" s="255"/>
    </row>
    <row r="172" spans="2:20" ht="13.5" x14ac:dyDescent="0.25">
      <c r="B172" s="93"/>
      <c r="C172" s="92" t="s">
        <v>190</v>
      </c>
      <c r="D172" s="95"/>
      <c r="E172" s="181"/>
      <c r="F172" s="106"/>
      <c r="G172" s="186">
        <f t="shared" si="176"/>
        <v>0</v>
      </c>
      <c r="H172" s="38">
        <f>+Attachement!F170</f>
        <v>0</v>
      </c>
      <c r="I172" s="31">
        <f t="shared" si="177"/>
        <v>0</v>
      </c>
      <c r="J172" s="263">
        <f>+Attachement!G170</f>
        <v>0</v>
      </c>
      <c r="K172" s="33">
        <f t="shared" si="178"/>
        <v>0</v>
      </c>
      <c r="L172" s="34">
        <f t="shared" si="179"/>
        <v>0</v>
      </c>
      <c r="M172" s="35">
        <f t="shared" si="180"/>
        <v>0</v>
      </c>
      <c r="N172" s="36"/>
      <c r="O172" s="37">
        <f t="shared" si="182"/>
        <v>0</v>
      </c>
      <c r="P172" s="357">
        <f t="shared" si="183"/>
        <v>0</v>
      </c>
      <c r="R172" s="258"/>
      <c r="T172" s="255"/>
    </row>
    <row r="173" spans="2:20" ht="13.5" x14ac:dyDescent="0.25">
      <c r="B173" s="93"/>
      <c r="C173" s="92" t="s">
        <v>191</v>
      </c>
      <c r="D173" s="95"/>
      <c r="E173" s="181"/>
      <c r="F173" s="106"/>
      <c r="G173" s="186">
        <f t="shared" si="176"/>
        <v>0</v>
      </c>
      <c r="H173" s="38">
        <f>+Attachement!F171</f>
        <v>0</v>
      </c>
      <c r="I173" s="31">
        <f t="shared" si="177"/>
        <v>0</v>
      </c>
      <c r="J173" s="263">
        <f>+Attachement!G171</f>
        <v>0</v>
      </c>
      <c r="K173" s="33">
        <f t="shared" si="178"/>
        <v>0</v>
      </c>
      <c r="L173" s="34">
        <f t="shared" si="179"/>
        <v>0</v>
      </c>
      <c r="M173" s="35">
        <f t="shared" si="180"/>
        <v>0</v>
      </c>
      <c r="N173" s="36"/>
      <c r="O173" s="37">
        <f t="shared" si="182"/>
        <v>0</v>
      </c>
      <c r="P173" s="357">
        <f t="shared" si="183"/>
        <v>0</v>
      </c>
      <c r="R173" s="258"/>
      <c r="T173" s="255"/>
    </row>
    <row r="174" spans="2:20" ht="13.5" x14ac:dyDescent="0.25">
      <c r="B174" s="93"/>
      <c r="C174" s="92" t="s">
        <v>192</v>
      </c>
      <c r="D174" s="95"/>
      <c r="E174" s="181"/>
      <c r="F174" s="106"/>
      <c r="G174" s="186">
        <f t="shared" si="176"/>
        <v>0</v>
      </c>
      <c r="H174" s="38">
        <f>+Attachement!F172</f>
        <v>0</v>
      </c>
      <c r="I174" s="31">
        <f t="shared" si="177"/>
        <v>0</v>
      </c>
      <c r="J174" s="263">
        <f>+Attachement!G172</f>
        <v>0</v>
      </c>
      <c r="K174" s="33">
        <f t="shared" si="178"/>
        <v>0</v>
      </c>
      <c r="L174" s="34">
        <f t="shared" si="179"/>
        <v>0</v>
      </c>
      <c r="M174" s="35">
        <f t="shared" si="180"/>
        <v>0</v>
      </c>
      <c r="N174" s="36"/>
      <c r="O174" s="37">
        <f t="shared" si="182"/>
        <v>0</v>
      </c>
      <c r="P174" s="357">
        <f t="shared" si="183"/>
        <v>0</v>
      </c>
      <c r="R174" s="258"/>
      <c r="T174" s="255"/>
    </row>
    <row r="175" spans="2:20" ht="14.25" thickBot="1" x14ac:dyDescent="0.3">
      <c r="B175" s="93"/>
      <c r="C175" s="92" t="s">
        <v>193</v>
      </c>
      <c r="D175" s="95"/>
      <c r="E175" s="181"/>
      <c r="F175" s="106"/>
      <c r="G175" s="186">
        <f t="shared" si="168"/>
        <v>0</v>
      </c>
      <c r="H175" s="38">
        <f>+Attachement!F173</f>
        <v>0</v>
      </c>
      <c r="I175" s="31">
        <f t="shared" si="169"/>
        <v>0</v>
      </c>
      <c r="J175" s="263">
        <f>+Attachement!G173</f>
        <v>0</v>
      </c>
      <c r="K175" s="33">
        <f t="shared" si="170"/>
        <v>0</v>
      </c>
      <c r="L175" s="34">
        <f t="shared" si="171"/>
        <v>0</v>
      </c>
      <c r="M175" s="35">
        <f t="shared" si="172"/>
        <v>0</v>
      </c>
      <c r="N175" s="36"/>
      <c r="O175" s="37">
        <f t="shared" si="174"/>
        <v>0</v>
      </c>
      <c r="P175" s="357">
        <f t="shared" si="175"/>
        <v>0</v>
      </c>
      <c r="R175" s="258"/>
      <c r="T175" s="255"/>
    </row>
    <row r="176" spans="2:20" ht="17.25" thickBot="1" x14ac:dyDescent="0.3">
      <c r="B176" s="214"/>
      <c r="C176" s="215" t="s">
        <v>113</v>
      </c>
      <c r="D176" s="216"/>
      <c r="E176" s="217"/>
      <c r="F176" s="218"/>
      <c r="G176" s="219">
        <f>+SUBTOTAL(9,G164:G175)</f>
        <v>1140000000</v>
      </c>
      <c r="H176" s="220"/>
      <c r="I176" s="221">
        <f>+SUBTOTAL(9,I164:I175)</f>
        <v>0</v>
      </c>
      <c r="J176" s="222"/>
      <c r="K176" s="223">
        <f>+SUBTOTAL(9,K164:K175)</f>
        <v>0</v>
      </c>
      <c r="L176" s="224"/>
      <c r="M176" s="221">
        <f>+SUBTOTAL(9,M164:M175)</f>
        <v>0</v>
      </c>
      <c r="N176" s="225">
        <f>+M176/G176</f>
        <v>0</v>
      </c>
      <c r="O176" s="226"/>
      <c r="P176" s="361">
        <f>+SUBTOTAL(9,P164:P175)</f>
        <v>1140000000</v>
      </c>
    </row>
    <row r="177" spans="2:20" ht="23.1" customHeight="1" thickTop="1" x14ac:dyDescent="0.25">
      <c r="B177" s="50">
        <v>700</v>
      </c>
      <c r="C177" s="17" t="s">
        <v>27</v>
      </c>
      <c r="D177" s="178"/>
      <c r="E177" s="19"/>
      <c r="F177" s="20"/>
      <c r="G177" s="183"/>
      <c r="H177" s="21"/>
      <c r="I177" s="22"/>
      <c r="J177" s="23"/>
      <c r="K177" s="24"/>
      <c r="L177" s="25"/>
      <c r="M177" s="51"/>
      <c r="N177" s="26"/>
      <c r="O177" s="52"/>
      <c r="P177" s="359"/>
    </row>
    <row r="178" spans="2:20" ht="13.5" x14ac:dyDescent="0.25">
      <c r="B178" s="328" t="s">
        <v>16</v>
      </c>
      <c r="C178" s="329" t="s">
        <v>0</v>
      </c>
      <c r="D178" s="330" t="s">
        <v>1</v>
      </c>
      <c r="E178" s="331" t="s">
        <v>2</v>
      </c>
      <c r="F178" s="332"/>
      <c r="G178" s="333"/>
      <c r="H178" s="30"/>
      <c r="I178" s="31"/>
      <c r="J178" s="32"/>
      <c r="K178" s="53"/>
      <c r="L178" s="34"/>
      <c r="M178" s="54"/>
      <c r="N178" s="36"/>
      <c r="O178" s="37"/>
      <c r="P178" s="360"/>
    </row>
    <row r="179" spans="2:20" ht="13.5" x14ac:dyDescent="0.25">
      <c r="B179" s="93">
        <v>701</v>
      </c>
      <c r="C179" s="92" t="s">
        <v>194</v>
      </c>
      <c r="D179" s="95" t="s">
        <v>73</v>
      </c>
      <c r="E179" s="181">
        <f>+Attachement!E177</f>
        <v>359</v>
      </c>
      <c r="F179" s="106">
        <v>200000</v>
      </c>
      <c r="G179" s="186">
        <f t="shared" ref="G179:G182" si="191">+E179*F179</f>
        <v>71800000</v>
      </c>
      <c r="H179" s="38">
        <f>+Attachement!F177</f>
        <v>0</v>
      </c>
      <c r="I179" s="31">
        <f t="shared" ref="I179:I182" si="192">H179*F179</f>
        <v>0</v>
      </c>
      <c r="J179" s="263">
        <f>+Attachement!G177</f>
        <v>0</v>
      </c>
      <c r="K179" s="33">
        <f t="shared" ref="K179:K182" si="193">+J179*F179</f>
        <v>0</v>
      </c>
      <c r="L179" s="34">
        <f t="shared" ref="L179:L182" si="194">+J179+H179</f>
        <v>0</v>
      </c>
      <c r="M179" s="35">
        <f t="shared" ref="M179:M182" si="195">+K179+I179</f>
        <v>0</v>
      </c>
      <c r="N179" s="36">
        <f t="shared" ref="N179" si="196">+M179/G179</f>
        <v>0</v>
      </c>
      <c r="O179" s="37">
        <f t="shared" ref="O179:O182" si="197">+E179-L179</f>
        <v>359</v>
      </c>
      <c r="P179" s="357">
        <f t="shared" ref="P179:P182" si="198">+G179-M179</f>
        <v>71800000</v>
      </c>
      <c r="R179" s="258"/>
      <c r="T179" s="255"/>
    </row>
    <row r="180" spans="2:20" ht="13.5" x14ac:dyDescent="0.25">
      <c r="B180" s="93">
        <v>702</v>
      </c>
      <c r="C180" s="92" t="s">
        <v>195</v>
      </c>
      <c r="D180" s="95" t="s">
        <v>73</v>
      </c>
      <c r="E180" s="181">
        <f>+Attachement!E178</f>
        <v>258</v>
      </c>
      <c r="F180" s="106">
        <v>20000</v>
      </c>
      <c r="G180" s="186">
        <f t="shared" si="191"/>
        <v>5160000</v>
      </c>
      <c r="H180" s="38">
        <f>+Attachement!F178</f>
        <v>0</v>
      </c>
      <c r="I180" s="31">
        <f t="shared" si="192"/>
        <v>0</v>
      </c>
      <c r="J180" s="263">
        <f>+Attachement!G178</f>
        <v>0</v>
      </c>
      <c r="K180" s="33">
        <f t="shared" si="193"/>
        <v>0</v>
      </c>
      <c r="L180" s="34">
        <f t="shared" si="194"/>
        <v>0</v>
      </c>
      <c r="M180" s="35">
        <f t="shared" si="195"/>
        <v>0</v>
      </c>
      <c r="N180" s="36"/>
      <c r="O180" s="37">
        <f t="shared" si="197"/>
        <v>258</v>
      </c>
      <c r="P180" s="357">
        <f t="shared" si="198"/>
        <v>5160000</v>
      </c>
      <c r="R180" s="258"/>
      <c r="T180" s="255"/>
    </row>
    <row r="181" spans="2:20" ht="13.5" x14ac:dyDescent="0.25">
      <c r="B181" s="93">
        <v>703</v>
      </c>
      <c r="C181" s="92" t="s">
        <v>196</v>
      </c>
      <c r="D181" s="95" t="s">
        <v>73</v>
      </c>
      <c r="E181" s="181">
        <f>+Attachement!E179</f>
        <v>161</v>
      </c>
      <c r="F181" s="106">
        <v>70000</v>
      </c>
      <c r="G181" s="186">
        <f t="shared" si="191"/>
        <v>11270000</v>
      </c>
      <c r="H181" s="38">
        <f>+Attachement!F179</f>
        <v>0</v>
      </c>
      <c r="I181" s="31">
        <f t="shared" si="192"/>
        <v>0</v>
      </c>
      <c r="J181" s="263">
        <f>+Attachement!G179</f>
        <v>0</v>
      </c>
      <c r="K181" s="33">
        <f t="shared" si="193"/>
        <v>0</v>
      </c>
      <c r="L181" s="34">
        <f t="shared" si="194"/>
        <v>0</v>
      </c>
      <c r="M181" s="35">
        <f t="shared" si="195"/>
        <v>0</v>
      </c>
      <c r="N181" s="36">
        <f t="shared" ref="N181" si="199">+M181/G181</f>
        <v>0</v>
      </c>
      <c r="O181" s="37">
        <f t="shared" si="197"/>
        <v>161</v>
      </c>
      <c r="P181" s="357">
        <f t="shared" si="198"/>
        <v>11270000</v>
      </c>
      <c r="R181" s="258"/>
      <c r="T181" s="255"/>
    </row>
    <row r="182" spans="2:20" ht="14.25" thickBot="1" x14ac:dyDescent="0.3">
      <c r="B182" s="93">
        <v>704</v>
      </c>
      <c r="C182" s="92" t="s">
        <v>197</v>
      </c>
      <c r="D182" s="95" t="s">
        <v>26</v>
      </c>
      <c r="E182" s="181">
        <f>+Attachement!E180</f>
        <v>1565</v>
      </c>
      <c r="F182" s="106">
        <v>8000</v>
      </c>
      <c r="G182" s="186">
        <f t="shared" si="191"/>
        <v>12520000</v>
      </c>
      <c r="H182" s="38">
        <f>+Attachement!F180</f>
        <v>0</v>
      </c>
      <c r="I182" s="31">
        <f t="shared" si="192"/>
        <v>0</v>
      </c>
      <c r="J182" s="263">
        <f>+Attachement!G180</f>
        <v>0</v>
      </c>
      <c r="K182" s="33">
        <f t="shared" si="193"/>
        <v>0</v>
      </c>
      <c r="L182" s="34">
        <f t="shared" si="194"/>
        <v>0</v>
      </c>
      <c r="M182" s="35">
        <f t="shared" si="195"/>
        <v>0</v>
      </c>
      <c r="N182" s="36"/>
      <c r="O182" s="37">
        <f t="shared" si="197"/>
        <v>1565</v>
      </c>
      <c r="P182" s="357">
        <f t="shared" si="198"/>
        <v>12520000</v>
      </c>
      <c r="R182" s="258"/>
      <c r="T182" s="255"/>
    </row>
    <row r="183" spans="2:20" ht="23.25" customHeight="1" thickBot="1" x14ac:dyDescent="0.3">
      <c r="B183" s="214"/>
      <c r="C183" s="215" t="s">
        <v>198</v>
      </c>
      <c r="D183" s="216"/>
      <c r="E183" s="217"/>
      <c r="F183" s="218"/>
      <c r="G183" s="219">
        <f>+SUBTOTAL(9,G179:G182)</f>
        <v>100750000</v>
      </c>
      <c r="H183" s="220"/>
      <c r="I183" s="221">
        <f>+SUBTOTAL(9,I179:I182)</f>
        <v>0</v>
      </c>
      <c r="J183" s="222"/>
      <c r="K183" s="223">
        <f>+SUBTOTAL(9,K179:K182)</f>
        <v>0</v>
      </c>
      <c r="L183" s="224"/>
      <c r="M183" s="221">
        <f>+SUBTOTAL(9,M179:M182)</f>
        <v>0</v>
      </c>
      <c r="N183" s="225">
        <f>+M183/G183</f>
        <v>0</v>
      </c>
      <c r="O183" s="226"/>
      <c r="P183" s="361">
        <f>+SUBTOTAL(9,P179:P182)</f>
        <v>100750000</v>
      </c>
    </row>
    <row r="184" spans="2:20" s="3" customFormat="1" ht="24" customHeight="1" thickTop="1" thickBot="1" x14ac:dyDescent="0.35">
      <c r="B184" s="377"/>
      <c r="C184" s="378" t="s">
        <v>140</v>
      </c>
      <c r="D184" s="379"/>
      <c r="E184" s="380"/>
      <c r="F184" s="381"/>
      <c r="G184" s="382">
        <f>+G117+G123+G130+G140+G151+G161+G176+G183</f>
        <v>2413477000</v>
      </c>
      <c r="H184" s="383"/>
      <c r="I184" s="384">
        <f>+I117+I123+I130+I140+I151+I161+I176</f>
        <v>0</v>
      </c>
      <c r="J184" s="385"/>
      <c r="K184" s="384">
        <f>+K117+K123+K130+K140+K151+K161+K176</f>
        <v>0</v>
      </c>
      <c r="L184" s="386"/>
      <c r="M184" s="384">
        <f>+M117+M123+M130+M140+M151+M161+M176</f>
        <v>0</v>
      </c>
      <c r="N184" s="387">
        <f>+M184/G184</f>
        <v>0</v>
      </c>
      <c r="O184" s="388"/>
      <c r="P184" s="389">
        <f>+P117+P123+P130+P140+P151+P161+P176+P183</f>
        <v>2413477000</v>
      </c>
    </row>
    <row r="185" spans="2:20" ht="29.25" customHeight="1" x14ac:dyDescent="0.25">
      <c r="B185" s="401"/>
      <c r="C185" s="399" t="s">
        <v>28</v>
      </c>
      <c r="D185" s="404"/>
      <c r="E185" s="402"/>
      <c r="F185" s="393"/>
      <c r="G185" s="405">
        <f>+G184+G106+G72</f>
        <v>9695010000</v>
      </c>
      <c r="H185" s="406"/>
      <c r="I185" s="407">
        <f>+I184+I106+I72</f>
        <v>0</v>
      </c>
      <c r="J185" s="408"/>
      <c r="K185" s="407">
        <f>+K184+K106+K72</f>
        <v>648089192</v>
      </c>
      <c r="L185" s="409" t="s">
        <v>45</v>
      </c>
      <c r="M185" s="407">
        <f>+M184+M106+M72</f>
        <v>648089192</v>
      </c>
      <c r="N185" s="410">
        <f>+M185/G185</f>
        <v>6.6847707428873207E-2</v>
      </c>
      <c r="O185" s="411"/>
      <c r="P185" s="412">
        <f>+P184+P106+P72</f>
        <v>9046920808</v>
      </c>
      <c r="R185" s="88"/>
    </row>
    <row r="186" spans="2:20" ht="29.25" customHeight="1" x14ac:dyDescent="0.3">
      <c r="B186" s="390"/>
      <c r="C186" s="400" t="s">
        <v>29</v>
      </c>
      <c r="D186" s="391">
        <v>0.18</v>
      </c>
      <c r="E186" s="392"/>
      <c r="F186" s="403"/>
      <c r="G186" s="394">
        <f>ROUNDUP(0.18*G185,0)</f>
        <v>1745101800</v>
      </c>
      <c r="H186" s="213"/>
      <c r="I186" s="395">
        <f>ROUNDUP(0.18*I185,0)</f>
        <v>0</v>
      </c>
      <c r="J186" s="396"/>
      <c r="K186" s="397">
        <f>ROUNDUP(0.18*K185,0)</f>
        <v>116656055</v>
      </c>
      <c r="L186" s="213"/>
      <c r="M186" s="397">
        <f>ROUNDUP(0.18*M185,0)</f>
        <v>116656055</v>
      </c>
      <c r="N186" s="213"/>
      <c r="O186" s="351"/>
      <c r="P186" s="398">
        <f>ROUNDUP(0.18*P185,0)</f>
        <v>1628445746</v>
      </c>
    </row>
    <row r="187" spans="2:20" ht="29.25" customHeight="1" x14ac:dyDescent="0.3">
      <c r="B187" s="413"/>
      <c r="C187" s="415" t="s">
        <v>31</v>
      </c>
      <c r="D187" s="416">
        <v>0.01</v>
      </c>
      <c r="E187" s="417"/>
      <c r="F187" s="418"/>
      <c r="G187" s="419">
        <f>ROUNDDOWN(G185*1%,0)</f>
        <v>96950100</v>
      </c>
      <c r="H187" s="421"/>
      <c r="I187" s="423">
        <f>ROUNDDOWN(I185*1%,0)</f>
        <v>0</v>
      </c>
      <c r="J187" s="424"/>
      <c r="K187" s="426">
        <f>ROUNDDOWN(K185*1%,0)</f>
        <v>6480891</v>
      </c>
      <c r="L187" s="428"/>
      <c r="M187" s="430">
        <f>ROUNDDOWN(M185*1%,0)</f>
        <v>6480891</v>
      </c>
      <c r="N187" s="227"/>
      <c r="O187" s="352"/>
      <c r="P187" s="434">
        <f>ROUNDDOWN(P185*1%,0)</f>
        <v>90469208</v>
      </c>
    </row>
    <row r="188" spans="2:20" ht="27.75" customHeight="1" thickBot="1" x14ac:dyDescent="0.3">
      <c r="B188" s="548" t="s">
        <v>32</v>
      </c>
      <c r="C188" s="549"/>
      <c r="D188" s="549"/>
      <c r="E188" s="549"/>
      <c r="F188" s="549"/>
      <c r="G188" s="414">
        <f>SUM(G185:G187)-1</f>
        <v>11537061899</v>
      </c>
      <c r="H188" s="420"/>
      <c r="I188" s="422">
        <f>SUM(I185:I187)</f>
        <v>0</v>
      </c>
      <c r="J188" s="425"/>
      <c r="K188" s="427">
        <f>SUM(K185:K187)</f>
        <v>771226138</v>
      </c>
      <c r="L188" s="414"/>
      <c r="M188" s="429">
        <f>SUM(M185:M187)</f>
        <v>771226138</v>
      </c>
      <c r="N188" s="431"/>
      <c r="O188" s="432"/>
      <c r="P188" s="433">
        <f>SUM(P185:P187)</f>
        <v>10765835762</v>
      </c>
    </row>
    <row r="189" spans="2:20" ht="26.25" customHeight="1" thickBot="1" x14ac:dyDescent="0.35">
      <c r="H189"/>
      <c r="I189" s="56" t="s">
        <v>33</v>
      </c>
      <c r="J189" s="57"/>
      <c r="K189" s="58">
        <f>+G195+G200</f>
        <v>208231057.25999999</v>
      </c>
      <c r="L189"/>
      <c r="M189"/>
      <c r="N189"/>
      <c r="O189" s="104"/>
      <c r="P189" s="256"/>
    </row>
    <row r="190" spans="2:20" ht="25.15" customHeight="1" thickBot="1" x14ac:dyDescent="0.35">
      <c r="C190" s="553" t="s">
        <v>217</v>
      </c>
      <c r="D190" s="553"/>
      <c r="E190" s="553"/>
      <c r="F190" s="553"/>
      <c r="G190" s="553"/>
      <c r="H190" s="554"/>
      <c r="I190" s="551" t="s">
        <v>34</v>
      </c>
      <c r="J190" s="552"/>
      <c r="K190" s="59">
        <f>+K188-K189</f>
        <v>562995080.74000001</v>
      </c>
      <c r="L190"/>
      <c r="M190" s="288"/>
      <c r="N190"/>
      <c r="O190" s="289"/>
      <c r="P190" s="256"/>
    </row>
    <row r="191" spans="2:20" ht="25.15" customHeight="1" thickBot="1" x14ac:dyDescent="0.3">
      <c r="C191" s="553"/>
      <c r="D191" s="553"/>
      <c r="E191" s="553"/>
      <c r="F191" s="553"/>
      <c r="G191" s="553"/>
      <c r="H191" s="554"/>
      <c r="I191" s="107"/>
      <c r="J191" s="108" t="s">
        <v>35</v>
      </c>
      <c r="K191" s="109">
        <f>+$M$188/$G$188</f>
        <v>6.6847707393062325E-2</v>
      </c>
      <c r="L191"/>
      <c r="M191" s="88"/>
      <c r="N191"/>
      <c r="O191" s="104"/>
      <c r="P191" s="256"/>
    </row>
    <row r="192" spans="2:20" ht="15" customHeight="1" x14ac:dyDescent="0.25">
      <c r="H192"/>
      <c r="I192" s="498"/>
      <c r="J192" s="498"/>
      <c r="K192" s="498"/>
      <c r="L192" s="498"/>
      <c r="M192" s="498"/>
      <c r="N192" s="498"/>
      <c r="O192" s="498"/>
      <c r="P192" s="498"/>
    </row>
    <row r="193" spans="1:17" ht="25.15" customHeight="1" x14ac:dyDescent="0.25">
      <c r="C193" s="550" t="s">
        <v>56</v>
      </c>
      <c r="D193" s="550"/>
      <c r="E193" s="550"/>
      <c r="F193" s="550"/>
      <c r="G193" s="550"/>
      <c r="H193"/>
      <c r="I193"/>
      <c r="J193"/>
      <c r="K193" s="229"/>
      <c r="L193"/>
      <c r="M193"/>
      <c r="N193"/>
      <c r="O193"/>
      <c r="P193" s="362"/>
    </row>
    <row r="194" spans="1:17" ht="21.95" customHeight="1" thickBot="1" x14ac:dyDescent="0.35">
      <c r="C194" s="228" t="s">
        <v>211</v>
      </c>
      <c r="D194" s="60"/>
      <c r="E194" s="60"/>
      <c r="F194" s="60"/>
      <c r="G194" s="61">
        <f>+G188*0.2</f>
        <v>2307412379.8000002</v>
      </c>
      <c r="L194"/>
      <c r="M194"/>
      <c r="N194"/>
      <c r="O194" s="104"/>
      <c r="P194" s="256"/>
    </row>
    <row r="195" spans="1:17" ht="21.95" customHeight="1" x14ac:dyDescent="0.3">
      <c r="C195" s="435" t="s">
        <v>199</v>
      </c>
      <c r="D195" s="436"/>
      <c r="E195" s="436"/>
      <c r="F195" s="436"/>
      <c r="G195" s="437">
        <f>+K188*0.25</f>
        <v>192806534.5</v>
      </c>
      <c r="L195" s="67"/>
      <c r="M195" s="67"/>
      <c r="N195" s="67"/>
      <c r="O195" s="110"/>
      <c r="P195" s="363"/>
    </row>
    <row r="196" spans="1:17" ht="21.95" customHeight="1" thickBot="1" x14ac:dyDescent="0.35">
      <c r="C196" s="62" t="s">
        <v>54</v>
      </c>
      <c r="D196" s="254">
        <f>+G196/G194</f>
        <v>8.355963424132791E-2</v>
      </c>
      <c r="E196" s="253"/>
      <c r="F196" s="63"/>
      <c r="G196" s="438">
        <f>SUM(G195:G195)</f>
        <v>192806534.5</v>
      </c>
      <c r="L196" s="67"/>
      <c r="M196" s="67"/>
      <c r="N196" s="67"/>
      <c r="O196" s="110"/>
      <c r="P196" s="363"/>
    </row>
    <row r="197" spans="1:17" ht="5.25" customHeight="1" x14ac:dyDescent="0.3">
      <c r="B197" s="482"/>
      <c r="C197" s="113"/>
      <c r="F197" s="114"/>
      <c r="G197" s="76"/>
      <c r="H197"/>
      <c r="I197"/>
      <c r="J197"/>
      <c r="K197"/>
      <c r="L197"/>
      <c r="M197"/>
      <c r="N197"/>
    </row>
    <row r="198" spans="1:17" ht="20.100000000000001" customHeight="1" thickBot="1" x14ac:dyDescent="0.35">
      <c r="C198" s="228" t="s">
        <v>36</v>
      </c>
      <c r="D198" s="270">
        <f>+G198/G194</f>
        <v>0.91644036575867205</v>
      </c>
      <c r="E198" s="60"/>
      <c r="F198" s="60"/>
      <c r="G198" s="61">
        <f>+G194-G196</f>
        <v>2114605845.3000002</v>
      </c>
      <c r="L198"/>
      <c r="M198"/>
      <c r="N198"/>
      <c r="O198" s="104"/>
      <c r="P198" s="256"/>
    </row>
    <row r="199" spans="1:17" ht="19.5" customHeight="1" x14ac:dyDescent="0.3">
      <c r="G199" s="65"/>
      <c r="L199" s="67"/>
      <c r="M199" s="67"/>
      <c r="N199" s="67"/>
      <c r="O199" s="110"/>
      <c r="P199" s="363"/>
    </row>
    <row r="200" spans="1:17" ht="20.100000000000001" customHeight="1" x14ac:dyDescent="0.25">
      <c r="C200" s="499" t="s">
        <v>209</v>
      </c>
      <c r="D200" s="230"/>
      <c r="E200" s="230"/>
      <c r="F200" s="230"/>
      <c r="G200" s="500">
        <f>+K188*0.02</f>
        <v>15424522.76</v>
      </c>
      <c r="H200" s="115"/>
      <c r="I200" s="115"/>
      <c r="J200" s="116"/>
      <c r="K200" s="117"/>
      <c r="L200" s="13"/>
      <c r="M200" s="13"/>
      <c r="N200" s="13"/>
      <c r="O200" s="14"/>
      <c r="P200" s="354"/>
    </row>
    <row r="201" spans="1:17" ht="20.100000000000001" customHeight="1" thickBot="1" x14ac:dyDescent="0.35">
      <c r="C201" s="62" t="s">
        <v>55</v>
      </c>
      <c r="D201" s="63"/>
      <c r="E201" s="63"/>
      <c r="F201" s="63"/>
      <c r="G201" s="64">
        <f>SUM(G200:G200)</f>
        <v>15424522.76</v>
      </c>
    </row>
    <row r="202" spans="1:17" ht="34.15" customHeight="1" x14ac:dyDescent="0.3">
      <c r="B202" s="482"/>
    </row>
    <row r="203" spans="1:17" s="81" customFormat="1" ht="25.5" customHeight="1" x14ac:dyDescent="0.3">
      <c r="A203"/>
      <c r="B203" s="482"/>
      <c r="C203"/>
      <c r="D203"/>
      <c r="E203"/>
      <c r="F203"/>
      <c r="G203" s="545" t="s">
        <v>37</v>
      </c>
      <c r="H203" s="545"/>
      <c r="I203" s="545"/>
      <c r="J203" s="545"/>
      <c r="K203" s="545"/>
      <c r="Q203" s="4"/>
    </row>
    <row r="204" spans="1:17" s="81" customFormat="1" ht="19.899999999999999" customHeight="1" x14ac:dyDescent="0.3">
      <c r="A204"/>
      <c r="B204" s="482"/>
      <c r="C204"/>
      <c r="D204" s="67"/>
      <c r="E204"/>
      <c r="F204"/>
      <c r="G204" s="267" t="s">
        <v>38</v>
      </c>
      <c r="H204" s="267" t="s">
        <v>30</v>
      </c>
      <c r="I204" s="268" t="s">
        <v>39</v>
      </c>
      <c r="J204" s="269" t="s">
        <v>40</v>
      </c>
      <c r="K204" s="269" t="s">
        <v>41</v>
      </c>
    </row>
    <row r="205" spans="1:17" ht="19.899999999999999" customHeight="1" thickBot="1" x14ac:dyDescent="0.35">
      <c r="B205" s="482"/>
      <c r="C205" s="111" t="s">
        <v>42</v>
      </c>
      <c r="D205" s="60"/>
      <c r="E205" s="60"/>
      <c r="F205" s="68"/>
      <c r="G205" s="112">
        <f>G185</f>
        <v>9695010000</v>
      </c>
      <c r="H205" s="112">
        <f>+G205*0.18</f>
        <v>1745101800</v>
      </c>
      <c r="I205" s="112">
        <f>+G205*0.01</f>
        <v>96950100</v>
      </c>
      <c r="J205" s="112">
        <f>SUM(G205:I205)</f>
        <v>11537061900</v>
      </c>
      <c r="K205" s="69">
        <v>1</v>
      </c>
    </row>
    <row r="206" spans="1:17" ht="19.899999999999999" customHeight="1" thickBot="1" x14ac:dyDescent="0.35">
      <c r="B206" s="482"/>
      <c r="C206" s="70" t="s">
        <v>43</v>
      </c>
      <c r="D206" s="71"/>
      <c r="E206" s="71"/>
      <c r="F206" s="72"/>
      <c r="G206" s="73">
        <f>+K185</f>
        <v>648089192</v>
      </c>
      <c r="H206" s="74">
        <f>+G206*0.18</f>
        <v>116656054.56</v>
      </c>
      <c r="I206" s="74">
        <f>+G206*0.01</f>
        <v>6480891.9199999999</v>
      </c>
      <c r="J206" s="74">
        <f>SUM(G206:I206)</f>
        <v>771226138.4799999</v>
      </c>
      <c r="K206" s="75">
        <f>+J206/J205</f>
        <v>6.6847707428873193E-2</v>
      </c>
    </row>
    <row r="207" spans="1:17" ht="5.25" customHeight="1" x14ac:dyDescent="0.3">
      <c r="B207" s="482"/>
      <c r="C207" s="113"/>
      <c r="F207" s="114"/>
      <c r="G207" s="76"/>
      <c r="H207"/>
      <c r="I207"/>
      <c r="J207"/>
      <c r="K207" s="114"/>
    </row>
    <row r="208" spans="1:17" ht="19.899999999999999" customHeight="1" thickBot="1" x14ac:dyDescent="0.35">
      <c r="B208" s="482"/>
      <c r="C208" s="111" t="s">
        <v>44</v>
      </c>
      <c r="D208" s="66"/>
      <c r="E208" s="66"/>
      <c r="F208" s="77"/>
      <c r="G208" s="78">
        <f>+G205-G206</f>
        <v>9046920808</v>
      </c>
      <c r="H208" s="78">
        <f>+H205-H206</f>
        <v>1628445745.4400001</v>
      </c>
      <c r="I208" s="78">
        <f>+I205-I206</f>
        <v>90469208.079999998</v>
      </c>
      <c r="J208" s="78">
        <f>SUM(G208:I208)</f>
        <v>10765835761.52</v>
      </c>
      <c r="K208" s="79">
        <f>+J208/J205</f>
        <v>0.93315229257112686</v>
      </c>
    </row>
    <row r="209" spans="2:16" ht="24.75" customHeight="1" x14ac:dyDescent="0.3">
      <c r="B209" s="482"/>
    </row>
    <row r="210" spans="2:16" ht="14.65" customHeight="1" x14ac:dyDescent="0.3"/>
    <row r="211" spans="2:16" ht="14.65" customHeight="1" x14ac:dyDescent="0.3"/>
    <row r="212" spans="2:16" ht="14.65" customHeight="1" x14ac:dyDescent="0.3"/>
    <row r="213" spans="2:16" ht="25.5" customHeight="1" x14ac:dyDescent="0.25">
      <c r="C213" s="479" t="s">
        <v>46</v>
      </c>
      <c r="D213" s="67"/>
      <c r="E213" s="67"/>
      <c r="F213" s="67"/>
      <c r="G213" s="479"/>
      <c r="H213" s="480"/>
      <c r="I213" s="480"/>
      <c r="J213" s="481"/>
      <c r="K213" s="479" t="s">
        <v>46</v>
      </c>
      <c r="L213" s="13"/>
      <c r="M213" s="13"/>
      <c r="N213" s="13"/>
      <c r="O213" s="14"/>
      <c r="P213" s="13"/>
    </row>
    <row r="214" spans="2:16" ht="18" x14ac:dyDescent="0.25">
      <c r="C214" s="483" t="s">
        <v>200</v>
      </c>
      <c r="D214" s="484"/>
      <c r="E214" s="484"/>
      <c r="F214" s="484"/>
      <c r="G214" s="2"/>
      <c r="H214" s="483"/>
      <c r="I214" s="483"/>
      <c r="J214" s="483"/>
      <c r="K214" s="483"/>
      <c r="L214"/>
      <c r="M214" s="483" t="s">
        <v>201</v>
      </c>
      <c r="N214" s="483"/>
      <c r="O214" s="485"/>
      <c r="P214"/>
    </row>
    <row r="215" spans="2:16" ht="18.75" x14ac:dyDescent="0.3">
      <c r="C215" s="483" t="s">
        <v>202</v>
      </c>
      <c r="D215" s="2"/>
      <c r="E215" s="2"/>
      <c r="F215" s="484"/>
      <c r="G215" s="484"/>
      <c r="H215" s="483"/>
      <c r="I215" s="2"/>
      <c r="J215" s="2"/>
      <c r="K215" s="2"/>
      <c r="L215" s="486"/>
      <c r="M215" s="483" t="s">
        <v>203</v>
      </c>
      <c r="N215" s="484"/>
      <c r="O215" s="486"/>
      <c r="P215" s="81"/>
    </row>
    <row r="216" spans="2:16" ht="18" x14ac:dyDescent="0.25">
      <c r="C216" s="483" t="s">
        <v>210</v>
      </c>
      <c r="D216" s="484"/>
      <c r="E216" s="484"/>
      <c r="F216" s="484"/>
      <c r="G216" s="484"/>
      <c r="H216" s="483"/>
      <c r="I216" s="2"/>
      <c r="J216" s="2"/>
      <c r="K216" s="2"/>
      <c r="L216" s="485"/>
      <c r="M216" s="483" t="s">
        <v>204</v>
      </c>
      <c r="N216" s="484"/>
      <c r="O216" s="487"/>
      <c r="P216" s="488"/>
    </row>
    <row r="217" spans="2:16" ht="14.65" customHeight="1" x14ac:dyDescent="0.25">
      <c r="C217" s="484"/>
      <c r="D217" s="484"/>
      <c r="E217" s="484"/>
      <c r="F217" s="484"/>
      <c r="G217" s="484"/>
      <c r="H217" s="484"/>
      <c r="I217" s="485"/>
      <c r="J217" s="485"/>
      <c r="K217" s="485"/>
      <c r="L217" s="485"/>
      <c r="M217" s="485"/>
      <c r="N217" s="485"/>
      <c r="O217" s="485"/>
      <c r="P217"/>
    </row>
    <row r="218" spans="2:16" ht="18" x14ac:dyDescent="0.25">
      <c r="C218" s="484"/>
      <c r="D218" s="484"/>
      <c r="E218" s="484"/>
      <c r="F218" s="484"/>
      <c r="G218" s="484"/>
      <c r="H218" s="484"/>
      <c r="I218" s="485"/>
      <c r="J218" s="485"/>
      <c r="K218" s="485"/>
      <c r="L218" s="485"/>
      <c r="M218" s="485"/>
      <c r="N218" s="485"/>
      <c r="O218" s="485"/>
      <c r="P218"/>
    </row>
    <row r="219" spans="2:16" ht="18" x14ac:dyDescent="0.25">
      <c r="C219" s="484"/>
      <c r="D219" s="484"/>
      <c r="E219" s="484"/>
      <c r="F219" s="484"/>
      <c r="G219" s="484"/>
      <c r="H219" s="484"/>
      <c r="I219" s="485"/>
      <c r="J219" s="485"/>
      <c r="K219" s="485"/>
      <c r="L219" s="485"/>
      <c r="M219" s="485"/>
      <c r="N219" s="485"/>
      <c r="O219" s="485"/>
      <c r="P219"/>
    </row>
    <row r="220" spans="2:16" ht="18" x14ac:dyDescent="0.25">
      <c r="C220" s="484"/>
      <c r="D220" s="484"/>
      <c r="E220" s="484"/>
      <c r="F220" s="484"/>
      <c r="G220" s="484"/>
      <c r="H220" s="484"/>
      <c r="I220" s="485"/>
      <c r="J220" s="485"/>
      <c r="K220" s="485"/>
      <c r="L220" s="485"/>
      <c r="M220" s="485"/>
      <c r="N220" s="485"/>
      <c r="O220" s="485"/>
      <c r="P220"/>
    </row>
    <row r="221" spans="2:16" ht="18" x14ac:dyDescent="0.25">
      <c r="C221" s="484"/>
      <c r="D221" s="484"/>
      <c r="E221" s="484"/>
      <c r="F221" s="484"/>
      <c r="G221" s="484"/>
      <c r="H221" s="484"/>
      <c r="I221" s="485"/>
      <c r="J221" s="485"/>
      <c r="K221" s="485"/>
      <c r="L221" s="485"/>
      <c r="M221" s="485"/>
      <c r="N221" s="485"/>
      <c r="O221" s="485"/>
      <c r="P221"/>
    </row>
    <row r="222" spans="2:16" ht="15" x14ac:dyDescent="0.25">
      <c r="H222"/>
      <c r="I222" s="201"/>
      <c r="J222" s="201"/>
      <c r="K222" s="201"/>
      <c r="L222" s="201"/>
      <c r="M222" s="201"/>
      <c r="N222" s="201"/>
      <c r="O222" s="201"/>
      <c r="P222"/>
    </row>
    <row r="223" spans="2:16" ht="15" x14ac:dyDescent="0.25">
      <c r="H223"/>
      <c r="I223" s="201"/>
      <c r="J223" s="201"/>
      <c r="K223" s="201"/>
      <c r="L223" s="201"/>
      <c r="M223" s="201"/>
      <c r="N223" s="201"/>
      <c r="O223" s="201"/>
      <c r="P223"/>
    </row>
    <row r="224" spans="2:16" ht="15" x14ac:dyDescent="0.25">
      <c r="H224"/>
      <c r="I224" s="201"/>
      <c r="J224" s="201"/>
      <c r="K224" s="201"/>
      <c r="L224" s="201"/>
      <c r="M224" s="201"/>
      <c r="N224" s="201"/>
      <c r="O224" s="201"/>
      <c r="P224"/>
    </row>
    <row r="225" spans="3:16" ht="15" x14ac:dyDescent="0.25">
      <c r="H225"/>
      <c r="I225" s="201"/>
      <c r="J225" s="201"/>
      <c r="K225" s="201"/>
      <c r="L225" s="201"/>
      <c r="M225" s="201"/>
      <c r="N225" s="201"/>
      <c r="O225" s="201"/>
      <c r="P225"/>
    </row>
    <row r="226" spans="3:16" ht="15" x14ac:dyDescent="0.25">
      <c r="H226"/>
      <c r="I226" s="201"/>
      <c r="J226" s="201"/>
      <c r="K226" s="201"/>
      <c r="L226" s="201"/>
      <c r="M226" s="201"/>
      <c r="N226" s="201"/>
      <c r="O226" s="201"/>
      <c r="P226"/>
    </row>
    <row r="227" spans="3:16" ht="18" x14ac:dyDescent="0.25">
      <c r="C227" s="489" t="s">
        <v>57</v>
      </c>
      <c r="D227" s="489"/>
      <c r="E227" s="489"/>
      <c r="F227" s="489"/>
      <c r="G227" s="489"/>
      <c r="H227" s="489"/>
      <c r="I227" s="490"/>
      <c r="J227" s="490"/>
      <c r="K227" s="490"/>
      <c r="L227" s="490"/>
      <c r="M227" s="491" t="s">
        <v>58</v>
      </c>
      <c r="N227" s="490"/>
      <c r="O227" s="490"/>
      <c r="P227"/>
    </row>
  </sheetData>
  <mergeCells count="38">
    <mergeCell ref="A5:P5"/>
    <mergeCell ref="B13:P13"/>
    <mergeCell ref="B73:P73"/>
    <mergeCell ref="B107:P107"/>
    <mergeCell ref="G203:K203"/>
    <mergeCell ref="G10:G12"/>
    <mergeCell ref="B188:F188"/>
    <mergeCell ref="C193:G193"/>
    <mergeCell ref="I190:J190"/>
    <mergeCell ref="B91:B93"/>
    <mergeCell ref="C91:C93"/>
    <mergeCell ref="D91:D93"/>
    <mergeCell ref="E91:E93"/>
    <mergeCell ref="F91:F93"/>
    <mergeCell ref="G91:G93"/>
    <mergeCell ref="C190:H191"/>
    <mergeCell ref="M1:P1"/>
    <mergeCell ref="A3:P3"/>
    <mergeCell ref="C9:M9"/>
    <mergeCell ref="B10:B12"/>
    <mergeCell ref="C10:C12"/>
    <mergeCell ref="D10:D12"/>
    <mergeCell ref="E10:E12"/>
    <mergeCell ref="F10:F12"/>
    <mergeCell ref="H10:P10"/>
    <mergeCell ref="H11:I11"/>
    <mergeCell ref="J11:K11"/>
    <mergeCell ref="L11:M11"/>
    <mergeCell ref="N11:N12"/>
    <mergeCell ref="O11:P11"/>
    <mergeCell ref="A4:P4"/>
    <mergeCell ref="A6:P6"/>
    <mergeCell ref="H91:P91"/>
    <mergeCell ref="H92:I92"/>
    <mergeCell ref="J92:K92"/>
    <mergeCell ref="L92:M92"/>
    <mergeCell ref="N92:N93"/>
    <mergeCell ref="O92:P92"/>
  </mergeCells>
  <printOptions horizontalCentered="1"/>
  <pageMargins left="0.23622047244094491" right="0.23622047244094491" top="1.5748031496062993" bottom="1.1417322834645669" header="0.51181102362204722" footer="0.31496062992125984"/>
  <pageSetup paperSize="8" scale="57" orientation="portrait" r:id="rId1"/>
  <headerFooter alignWithMargins="0">
    <oddHeader xml:space="preserve">&amp;L&amp;G&amp;R&amp;26REPUBLIQUE GABONAISE
UNION-TRAVAIL-JUSTICE      
</oddHeader>
    <oddFooter xml:space="preserve">&amp;L&amp;G&amp;C&amp;12&amp;P&amp;R&amp;G      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Attachement</vt:lpstr>
      <vt:lpstr>Décompte</vt:lpstr>
      <vt:lpstr>Attachement!Zone_d_impression</vt:lpstr>
      <vt:lpstr>Décompte!Zone_d_impression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NKWEME EFERA</dc:creator>
  <cp:lastModifiedBy>Ulrich NKWEME EFERA</cp:lastModifiedBy>
  <cp:lastPrinted>2026-02-05T12:34:19Z</cp:lastPrinted>
  <dcterms:created xsi:type="dcterms:W3CDTF">2025-03-15T15:26:23Z</dcterms:created>
  <dcterms:modified xsi:type="dcterms:W3CDTF">2026-05-11T19:02:50Z</dcterms:modified>
</cp:coreProperties>
</file>