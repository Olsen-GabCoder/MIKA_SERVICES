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1 route akemi ndongoni\Offre commerciale MIKA\Décompte et attachement\Commercial Final\DQE FINALISé\"/>
    </mc:Choice>
  </mc:AlternateContent>
  <bookViews>
    <workbookView xWindow="0" yWindow="0" windowWidth="23040" windowHeight="9096"/>
  </bookViews>
  <sheets>
    <sheet name="Page de garde" sheetId="4" r:id="rId1"/>
    <sheet name="Nouveau DQE" sheetId="2" r:id="rId2"/>
    <sheet name="etude pxi DV" sheetId="3" r:id="rId3"/>
    <sheet name="DQ ouvrages" sheetId="1" r:id="rId4"/>
  </sheets>
  <externalReferences>
    <externalReference r:id="rId5"/>
    <externalReference r:id="rId6"/>
  </externalReferences>
  <definedNames>
    <definedName name="_xlnm.Print_Area" localSheetId="1">'Nouveau DQE'!$A$1:$G$633</definedName>
    <definedName name="_xlnm.Print_Area" localSheetId="0">'Page de garde'!$A$1:$F$73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1" i="2" l="1"/>
  <c r="R345" i="2"/>
  <c r="I478" i="2"/>
  <c r="I487" i="2"/>
  <c r="I494" i="2"/>
  <c r="I498" i="2"/>
  <c r="I507" i="2"/>
  <c r="I514" i="2"/>
  <c r="I516" i="2"/>
  <c r="I525" i="2"/>
  <c r="I532" i="2"/>
  <c r="I535" i="2"/>
  <c r="I544" i="2"/>
  <c r="I551" i="2"/>
  <c r="I445" i="2"/>
  <c r="I452" i="2"/>
  <c r="I458" i="2"/>
  <c r="I460" i="2"/>
  <c r="I467" i="2"/>
  <c r="I473" i="2"/>
  <c r="I347" i="2"/>
  <c r="I354" i="2"/>
  <c r="I360" i="2"/>
  <c r="I370" i="2"/>
  <c r="I376" i="2"/>
  <c r="I379" i="2"/>
  <c r="I386" i="2"/>
  <c r="I392" i="2"/>
  <c r="I395" i="2"/>
  <c r="I402" i="2"/>
  <c r="I408" i="2"/>
  <c r="K440" i="2"/>
  <c r="G321" i="4"/>
  <c r="G304" i="4"/>
  <c r="G306" i="4" s="1"/>
  <c r="G184" i="4"/>
  <c r="G151" i="4"/>
  <c r="H28" i="4"/>
  <c r="G185" i="4" l="1"/>
  <c r="G322" i="4" s="1"/>
  <c r="F440" i="2" l="1"/>
  <c r="F442" i="2"/>
  <c r="K622" i="2" l="1"/>
  <c r="O622" i="2"/>
  <c r="O623" i="2" s="1"/>
  <c r="F307" i="2"/>
  <c r="F425" i="2"/>
  <c r="E590" i="2"/>
  <c r="E591" i="2" s="1"/>
  <c r="E599" i="2"/>
  <c r="F586" i="2"/>
  <c r="K591" i="2"/>
  <c r="L591" i="2" s="1"/>
  <c r="M591" i="2" s="1"/>
  <c r="K590" i="2"/>
  <c r="L590" i="2" s="1"/>
  <c r="M590" i="2" s="1"/>
  <c r="F590" i="2"/>
  <c r="L557" i="2"/>
  <c r="F612" i="2"/>
  <c r="F611" i="2"/>
  <c r="F607" i="2"/>
  <c r="F591" i="2"/>
  <c r="E614" i="2"/>
  <c r="E615" i="2" s="1"/>
  <c r="E609" i="2"/>
  <c r="E607" i="2"/>
  <c r="E608" i="2" s="1"/>
  <c r="E605" i="2"/>
  <c r="E604" i="2"/>
  <c r="G620" i="2"/>
  <c r="F57" i="4" s="1"/>
  <c r="G57" i="4" s="1"/>
  <c r="G565" i="2"/>
  <c r="L342" i="2"/>
  <c r="E347" i="2"/>
  <c r="F349" i="2"/>
  <c r="F351" i="2"/>
  <c r="F352" i="2"/>
  <c r="F353" i="2"/>
  <c r="F358" i="2"/>
  <c r="F359" i="2"/>
  <c r="E364" i="2"/>
  <c r="G364" i="2" s="1"/>
  <c r="I364" i="2" s="1"/>
  <c r="E365" i="2"/>
  <c r="F365" i="2"/>
  <c r="F367" i="2"/>
  <c r="E368" i="2"/>
  <c r="E366" i="2" s="1"/>
  <c r="F368" i="2"/>
  <c r="E369" i="2"/>
  <c r="F369" i="2"/>
  <c r="E370" i="2"/>
  <c r="E371" i="2" s="1"/>
  <c r="G371" i="2" s="1"/>
  <c r="I371" i="2" s="1"/>
  <c r="E374" i="2"/>
  <c r="E372" i="2" s="1"/>
  <c r="E373" i="2" s="1"/>
  <c r="F374" i="2"/>
  <c r="F375" i="2"/>
  <c r="E379" i="2"/>
  <c r="E380" i="2" s="1"/>
  <c r="G380" i="2" s="1"/>
  <c r="I380" i="2" s="1"/>
  <c r="F381" i="2"/>
  <c r="F383" i="2"/>
  <c r="F384" i="2"/>
  <c r="F385" i="2"/>
  <c r="F390" i="2"/>
  <c r="F391" i="2"/>
  <c r="E393" i="2"/>
  <c r="E395" i="2"/>
  <c r="E406" i="2" s="1"/>
  <c r="F397" i="2"/>
  <c r="F399" i="2"/>
  <c r="F400" i="2"/>
  <c r="F401" i="2"/>
  <c r="F406" i="2"/>
  <c r="F407" i="2"/>
  <c r="E411" i="2"/>
  <c r="E412" i="2" s="1"/>
  <c r="G412" i="2" s="1"/>
  <c r="F413" i="2"/>
  <c r="F415" i="2"/>
  <c r="F416" i="2"/>
  <c r="F417" i="2"/>
  <c r="F422" i="2"/>
  <c r="F423" i="2"/>
  <c r="E426" i="2"/>
  <c r="E432" i="2" s="1"/>
  <c r="F428" i="2"/>
  <c r="F430" i="2"/>
  <c r="F431" i="2"/>
  <c r="F432" i="2"/>
  <c r="F437" i="2"/>
  <c r="F438" i="2"/>
  <c r="E443" i="2"/>
  <c r="N361" i="2" s="1"/>
  <c r="E445" i="2"/>
  <c r="F447" i="2"/>
  <c r="F449" i="2"/>
  <c r="F450" i="2"/>
  <c r="F451" i="2"/>
  <c r="F456" i="2"/>
  <c r="F457" i="2"/>
  <c r="E459" i="2"/>
  <c r="E461" i="2"/>
  <c r="G461" i="2" s="1"/>
  <c r="I461" i="2" s="1"/>
  <c r="E462" i="2"/>
  <c r="F462" i="2"/>
  <c r="G209" i="2"/>
  <c r="G220" i="2" s="1"/>
  <c r="G223" i="2" s="1"/>
  <c r="G206" i="2"/>
  <c r="G205" i="2"/>
  <c r="G208" i="2"/>
  <c r="G219" i="2"/>
  <c r="G222" i="2"/>
  <c r="L559" i="2"/>
  <c r="E349" i="2" l="1"/>
  <c r="D377" i="2"/>
  <c r="E384" i="2"/>
  <c r="E382" i="2" s="1"/>
  <c r="E383" i="2" s="1"/>
  <c r="G383" i="2" s="1"/>
  <c r="I383" i="2" s="1"/>
  <c r="O624" i="2"/>
  <c r="O625" i="2" s="1"/>
  <c r="E431" i="2"/>
  <c r="E429" i="2" s="1"/>
  <c r="G429" i="2" s="1"/>
  <c r="K623" i="2"/>
  <c r="K624" i="2"/>
  <c r="E428" i="2"/>
  <c r="G428" i="2" s="1"/>
  <c r="E381" i="2"/>
  <c r="G381" i="2" s="1"/>
  <c r="I381" i="2" s="1"/>
  <c r="G368" i="2"/>
  <c r="I368" i="2" s="1"/>
  <c r="E437" i="2"/>
  <c r="G437" i="2" s="1"/>
  <c r="E353" i="2"/>
  <c r="G353" i="2" s="1"/>
  <c r="I353" i="2" s="1"/>
  <c r="E390" i="2"/>
  <c r="E388" i="2" s="1"/>
  <c r="E389" i="2" s="1"/>
  <c r="E352" i="2"/>
  <c r="E350" i="2" s="1"/>
  <c r="E351" i="2" s="1"/>
  <c r="G351" i="2" s="1"/>
  <c r="I351" i="2" s="1"/>
  <c r="E416" i="2"/>
  <c r="E423" i="2" s="1"/>
  <c r="G423" i="2" s="1"/>
  <c r="G365" i="2"/>
  <c r="I365" i="2" s="1"/>
  <c r="G369" i="2"/>
  <c r="I369" i="2" s="1"/>
  <c r="G406" i="2"/>
  <c r="I406" i="2" s="1"/>
  <c r="E385" i="2"/>
  <c r="G385" i="2" s="1"/>
  <c r="I385" i="2" s="1"/>
  <c r="E375" i="2"/>
  <c r="G375" i="2" s="1"/>
  <c r="I375" i="2" s="1"/>
  <c r="G462" i="2"/>
  <c r="I462" i="2" s="1"/>
  <c r="G366" i="2"/>
  <c r="I366" i="2" s="1"/>
  <c r="E367" i="2"/>
  <c r="G367" i="2" s="1"/>
  <c r="I367" i="2" s="1"/>
  <c r="E447" i="2"/>
  <c r="G447" i="2" s="1"/>
  <c r="I447" i="2" s="1"/>
  <c r="E348" i="2"/>
  <c r="G348" i="2" s="1"/>
  <c r="I348" i="2" s="1"/>
  <c r="E452" i="2"/>
  <c r="E453" i="2" s="1"/>
  <c r="G453" i="2" s="1"/>
  <c r="I453" i="2" s="1"/>
  <c r="G432" i="2"/>
  <c r="E446" i="2"/>
  <c r="G446" i="2" s="1"/>
  <c r="I446" i="2" s="1"/>
  <c r="E418" i="2"/>
  <c r="E419" i="2" s="1"/>
  <c r="G419" i="2" s="1"/>
  <c r="E358" i="2"/>
  <c r="E356" i="2" s="1"/>
  <c r="E357" i="2" s="1"/>
  <c r="E451" i="2"/>
  <c r="G451" i="2" s="1"/>
  <c r="I451" i="2" s="1"/>
  <c r="E417" i="2"/>
  <c r="G417" i="2" s="1"/>
  <c r="E413" i="2"/>
  <c r="G413" i="2" s="1"/>
  <c r="E456" i="2"/>
  <c r="E454" i="2" s="1"/>
  <c r="E455" i="2" s="1"/>
  <c r="G349" i="2"/>
  <c r="I349" i="2" s="1"/>
  <c r="E450" i="2"/>
  <c r="E457" i="2" s="1"/>
  <c r="G457" i="2" s="1"/>
  <c r="I457" i="2" s="1"/>
  <c r="E422" i="2"/>
  <c r="G422" i="2" s="1"/>
  <c r="G374" i="2"/>
  <c r="I374" i="2" s="1"/>
  <c r="E354" i="2"/>
  <c r="E355" i="2" s="1"/>
  <c r="G355" i="2" s="1"/>
  <c r="I355" i="2" s="1"/>
  <c r="E402" i="2"/>
  <c r="E403" i="2" s="1"/>
  <c r="G403" i="2" s="1"/>
  <c r="I403" i="2" s="1"/>
  <c r="E396" i="2"/>
  <c r="G396" i="2" s="1"/>
  <c r="I396" i="2" s="1"/>
  <c r="E401" i="2"/>
  <c r="G401" i="2" s="1"/>
  <c r="I401" i="2" s="1"/>
  <c r="E433" i="2"/>
  <c r="E434" i="2" s="1"/>
  <c r="G434" i="2" s="1"/>
  <c r="E427" i="2"/>
  <c r="G427" i="2" s="1"/>
  <c r="E394" i="2"/>
  <c r="E404" i="2"/>
  <c r="E400" i="2"/>
  <c r="G400" i="2" s="1"/>
  <c r="I400" i="2" s="1"/>
  <c r="E397" i="2"/>
  <c r="G397" i="2" s="1"/>
  <c r="I397" i="2" s="1"/>
  <c r="E386" i="2"/>
  <c r="E387" i="2" s="1"/>
  <c r="G387" i="2" s="1"/>
  <c r="I387" i="2" s="1"/>
  <c r="E430" i="2" l="1"/>
  <c r="G430" i="2" s="1"/>
  <c r="G431" i="2"/>
  <c r="E438" i="2"/>
  <c r="G438" i="2" s="1"/>
  <c r="G382" i="2"/>
  <c r="I382" i="2" s="1"/>
  <c r="G384" i="2"/>
  <c r="I384" i="2" s="1"/>
  <c r="E391" i="2"/>
  <c r="G391" i="2" s="1"/>
  <c r="I391" i="2" s="1"/>
  <c r="G416" i="2"/>
  <c r="E414" i="2"/>
  <c r="E415" i="2" s="1"/>
  <c r="G415" i="2" s="1"/>
  <c r="K625" i="2"/>
  <c r="G352" i="2"/>
  <c r="I352" i="2" s="1"/>
  <c r="G350" i="2"/>
  <c r="I350" i="2" s="1"/>
  <c r="E359" i="2"/>
  <c r="G359" i="2" s="1"/>
  <c r="I359" i="2" s="1"/>
  <c r="E435" i="2"/>
  <c r="E436" i="2" s="1"/>
  <c r="E448" i="2"/>
  <c r="G448" i="2" s="1"/>
  <c r="I448" i="2" s="1"/>
  <c r="G456" i="2"/>
  <c r="I456" i="2" s="1"/>
  <c r="G390" i="2"/>
  <c r="I390" i="2" s="1"/>
  <c r="E420" i="2"/>
  <c r="E421" i="2" s="1"/>
  <c r="G450" i="2"/>
  <c r="I450" i="2" s="1"/>
  <c r="G358" i="2"/>
  <c r="I358" i="2" s="1"/>
  <c r="E405" i="2"/>
  <c r="E398" i="2"/>
  <c r="E407" i="2"/>
  <c r="G407" i="2" s="1"/>
  <c r="I407" i="2" s="1"/>
  <c r="G414" i="2" l="1"/>
  <c r="E449" i="2"/>
  <c r="G449" i="2" s="1"/>
  <c r="I449" i="2" s="1"/>
  <c r="G398" i="2"/>
  <c r="I398" i="2" s="1"/>
  <c r="E399" i="2"/>
  <c r="G399" i="2" s="1"/>
  <c r="I399" i="2" s="1"/>
  <c r="F24" i="2" l="1"/>
  <c r="G24" i="2" s="1"/>
  <c r="F21" i="2"/>
  <c r="G23" i="2"/>
  <c r="G22" i="2"/>
  <c r="E189" i="2"/>
  <c r="K44" i="2"/>
  <c r="F44" i="2" s="1"/>
  <c r="P44" i="2" s="1"/>
  <c r="F77" i="2"/>
  <c r="E314" i="2"/>
  <c r="K313" i="2"/>
  <c r="E313" i="2" s="1"/>
  <c r="E311" i="2"/>
  <c r="K309" i="2"/>
  <c r="E312" i="2" s="1"/>
  <c r="F299" i="2"/>
  <c r="F19" i="2"/>
  <c r="F18" i="2"/>
  <c r="G44" i="2" l="1"/>
  <c r="G21" i="2"/>
  <c r="E315" i="2" l="1"/>
  <c r="E310" i="2"/>
  <c r="E309" i="2"/>
  <c r="E308" i="2" s="1"/>
  <c r="Q192" i="2"/>
  <c r="A303" i="2"/>
  <c r="A304" i="2" s="1"/>
  <c r="G281" i="2" l="1"/>
  <c r="K296" i="2" l="1"/>
  <c r="M286" i="2"/>
  <c r="E284" i="2"/>
  <c r="E285" i="2"/>
  <c r="E534" i="2"/>
  <c r="E283" i="2" l="1"/>
  <c r="L361" i="2"/>
  <c r="K361" i="2"/>
  <c r="K285" i="2"/>
  <c r="L285" i="2" s="1"/>
  <c r="K284" i="2"/>
  <c r="L284" i="2" s="1"/>
  <c r="E307" i="2"/>
  <c r="G307" i="2" s="1"/>
  <c r="K10" i="2"/>
  <c r="K297" i="2"/>
  <c r="E298" i="2"/>
  <c r="E303" i="2"/>
  <c r="E297" i="2"/>
  <c r="M306" i="2"/>
  <c r="L306" i="2" s="1"/>
  <c r="E286" i="2"/>
  <c r="I307" i="2" l="1"/>
  <c r="E287" i="2"/>
  <c r="K306" i="2" s="1"/>
  <c r="E290" i="2"/>
  <c r="E289" i="2"/>
  <c r="E291" i="2"/>
  <c r="E301" i="2"/>
  <c r="G301" i="2" s="1"/>
  <c r="E299" i="2"/>
  <c r="G299" i="2" s="1"/>
  <c r="E304" i="2"/>
  <c r="E305" i="2"/>
  <c r="L297" i="2"/>
  <c r="M297" i="2" s="1"/>
  <c r="L289" i="2" l="1"/>
  <c r="E306" i="2"/>
  <c r="E293" i="2"/>
  <c r="G293" i="2" s="1"/>
  <c r="E295" i="2"/>
  <c r="F300" i="2"/>
  <c r="G300" i="2" s="1"/>
  <c r="F302" i="2" s="1"/>
  <c r="G302" i="2" s="1"/>
  <c r="K298" i="2" s="1"/>
  <c r="E294" i="2"/>
  <c r="E72" i="2"/>
  <c r="F57" i="2"/>
  <c r="G57" i="2" s="1"/>
  <c r="K49" i="2"/>
  <c r="F49" i="2" s="1"/>
  <c r="G49" i="2" s="1"/>
  <c r="L298" i="2" l="1"/>
  <c r="M298" i="2"/>
  <c r="J255" i="2"/>
  <c r="F187" i="2"/>
  <c r="G187" i="2" s="1"/>
  <c r="F186" i="2"/>
  <c r="F185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69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58" i="2"/>
  <c r="F59" i="2"/>
  <c r="F60" i="2"/>
  <c r="F61" i="2"/>
  <c r="F62" i="2"/>
  <c r="F51" i="2"/>
  <c r="F52" i="2"/>
  <c r="F53" i="2"/>
  <c r="F54" i="2"/>
  <c r="F50" i="2"/>
  <c r="G567" i="2"/>
  <c r="G572" i="2"/>
  <c r="G618" i="2"/>
  <c r="E611" i="2"/>
  <c r="E612" i="2" s="1"/>
  <c r="F609" i="2"/>
  <c r="F608" i="2"/>
  <c r="F604" i="2"/>
  <c r="F603" i="2"/>
  <c r="F601" i="2"/>
  <c r="E613" i="2"/>
  <c r="F588" i="2"/>
  <c r="F587" i="2"/>
  <c r="E544" i="2"/>
  <c r="E545" i="2" s="1"/>
  <c r="G545" i="2" s="1"/>
  <c r="I545" i="2" s="1"/>
  <c r="E548" i="2"/>
  <c r="E546" i="2" s="1"/>
  <c r="E547" i="2" s="1"/>
  <c r="E543" i="2"/>
  <c r="E535" i="2"/>
  <c r="E536" i="2" s="1"/>
  <c r="G536" i="2" s="1"/>
  <c r="I536" i="2" s="1"/>
  <c r="F549" i="2"/>
  <c r="F548" i="2"/>
  <c r="F543" i="2"/>
  <c r="F542" i="2"/>
  <c r="F541" i="2"/>
  <c r="F539" i="2"/>
  <c r="F538" i="2"/>
  <c r="F537" i="2"/>
  <c r="F520" i="2"/>
  <c r="F519" i="2"/>
  <c r="E516" i="2"/>
  <c r="E529" i="2" s="1"/>
  <c r="E527" i="2" s="1"/>
  <c r="E528" i="2" s="1"/>
  <c r="F530" i="2"/>
  <c r="F529" i="2"/>
  <c r="F524" i="2"/>
  <c r="F523" i="2"/>
  <c r="F522" i="2"/>
  <c r="F518" i="2"/>
  <c r="R507" i="2"/>
  <c r="E498" i="2"/>
  <c r="E499" i="2" s="1"/>
  <c r="F512" i="2"/>
  <c r="F511" i="2"/>
  <c r="F506" i="2"/>
  <c r="F505" i="2"/>
  <c r="F504" i="2"/>
  <c r="F502" i="2"/>
  <c r="F501" i="2"/>
  <c r="F500" i="2"/>
  <c r="F60" i="3"/>
  <c r="F482" i="2"/>
  <c r="F481" i="2"/>
  <c r="K553" i="2"/>
  <c r="E477" i="2"/>
  <c r="F492" i="2"/>
  <c r="F491" i="2"/>
  <c r="F486" i="2"/>
  <c r="F485" i="2"/>
  <c r="F484" i="2"/>
  <c r="F480" i="2"/>
  <c r="E474" i="2"/>
  <c r="E471" i="2"/>
  <c r="E469" i="2" s="1"/>
  <c r="E470" i="2" s="1"/>
  <c r="E467" i="2"/>
  <c r="E468" i="2" s="1"/>
  <c r="G468" i="2" s="1"/>
  <c r="I468" i="2" s="1"/>
  <c r="E466" i="2"/>
  <c r="E465" i="2"/>
  <c r="E472" i="2" s="1"/>
  <c r="F472" i="2"/>
  <c r="F471" i="2"/>
  <c r="K467" i="2"/>
  <c r="F466" i="2"/>
  <c r="F465" i="2"/>
  <c r="F464" i="2"/>
  <c r="K476" i="2"/>
  <c r="K433" i="2"/>
  <c r="K418" i="2"/>
  <c r="K402" i="2"/>
  <c r="K354" i="2"/>
  <c r="K386" i="2"/>
  <c r="K370" i="2"/>
  <c r="K184" i="2"/>
  <c r="L184" i="2" s="1"/>
  <c r="L177" i="2"/>
  <c r="K170" i="2"/>
  <c r="F170" i="2" s="1"/>
  <c r="K168" i="2"/>
  <c r="L168" i="2" s="1"/>
  <c r="L157" i="2"/>
  <c r="K146" i="2"/>
  <c r="F146" i="2" s="1"/>
  <c r="N144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K109" i="2"/>
  <c r="L109" i="2" s="1"/>
  <c r="L77" i="2"/>
  <c r="K76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45" i="2"/>
  <c r="L147" i="2"/>
  <c r="L148" i="2"/>
  <c r="L149" i="2"/>
  <c r="L150" i="2"/>
  <c r="L151" i="2"/>
  <c r="L152" i="2"/>
  <c r="L153" i="2"/>
  <c r="L154" i="2"/>
  <c r="L155" i="2"/>
  <c r="L156" i="2"/>
  <c r="L158" i="2"/>
  <c r="L159" i="2"/>
  <c r="L160" i="2"/>
  <c r="L161" i="2"/>
  <c r="L162" i="2"/>
  <c r="L163" i="2"/>
  <c r="L164" i="2"/>
  <c r="L165" i="2"/>
  <c r="L166" i="2"/>
  <c r="L167" i="2"/>
  <c r="L169" i="2"/>
  <c r="L171" i="2"/>
  <c r="L172" i="2"/>
  <c r="L173" i="2"/>
  <c r="L174" i="2"/>
  <c r="L175" i="2"/>
  <c r="L176" i="2"/>
  <c r="L178" i="2"/>
  <c r="L179" i="2"/>
  <c r="L180" i="2"/>
  <c r="L181" i="2"/>
  <c r="L182" i="2"/>
  <c r="L183" i="2"/>
  <c r="L185" i="2"/>
  <c r="L186" i="2"/>
  <c r="L187" i="2"/>
  <c r="K70" i="2"/>
  <c r="F70" i="2" s="1"/>
  <c r="K69" i="2"/>
  <c r="F69" i="2" s="1"/>
  <c r="K68" i="2"/>
  <c r="F68" i="2" s="1"/>
  <c r="K66" i="2"/>
  <c r="F66" i="2" s="1"/>
  <c r="K65" i="2"/>
  <c r="F65" i="2" s="1"/>
  <c r="K64" i="2"/>
  <c r="K56" i="2"/>
  <c r="E478" i="2" l="1"/>
  <c r="E482" i="2" s="1"/>
  <c r="J345" i="2"/>
  <c r="L10" i="2"/>
  <c r="M361" i="2"/>
  <c r="O361" i="2" s="1"/>
  <c r="J344" i="2"/>
  <c r="N298" i="2"/>
  <c r="O298" i="2" s="1"/>
  <c r="P298" i="2" s="1"/>
  <c r="K73" i="2"/>
  <c r="L73" i="2" s="1"/>
  <c r="F71" i="2" s="1"/>
  <c r="F72" i="2" s="1"/>
  <c r="G72" i="2" s="1"/>
  <c r="L76" i="2"/>
  <c r="F76" i="2"/>
  <c r="G76" i="2" s="1"/>
  <c r="K612" i="2"/>
  <c r="F109" i="2"/>
  <c r="G109" i="2" s="1"/>
  <c r="J109" i="2" s="1"/>
  <c r="F56" i="2"/>
  <c r="G56" i="2" s="1"/>
  <c r="J56" i="2" s="1"/>
  <c r="F64" i="2"/>
  <c r="G64" i="2" s="1"/>
  <c r="J64" i="2" s="1"/>
  <c r="M66" i="2"/>
  <c r="E523" i="2"/>
  <c r="G523" i="2" s="1"/>
  <c r="I523" i="2" s="1"/>
  <c r="F168" i="2"/>
  <c r="G168" i="2" s="1"/>
  <c r="J168" i="2" s="1"/>
  <c r="F184" i="2"/>
  <c r="G146" i="2"/>
  <c r="J146" i="2" s="1"/>
  <c r="G70" i="2"/>
  <c r="G68" i="2"/>
  <c r="J68" i="2" s="1"/>
  <c r="J49" i="2"/>
  <c r="E500" i="2"/>
  <c r="E537" i="2"/>
  <c r="E538" i="2" s="1"/>
  <c r="G538" i="2" s="1"/>
  <c r="I538" i="2" s="1"/>
  <c r="E539" i="2"/>
  <c r="G539" i="2" s="1"/>
  <c r="I539" i="2" s="1"/>
  <c r="E542" i="2"/>
  <c r="E549" i="2" s="1"/>
  <c r="G549" i="2" s="1"/>
  <c r="I549" i="2" s="1"/>
  <c r="E487" i="2"/>
  <c r="E488" i="2" s="1"/>
  <c r="G488" i="2" s="1"/>
  <c r="I488" i="2" s="1"/>
  <c r="E517" i="2"/>
  <c r="G517" i="2" s="1"/>
  <c r="I517" i="2" s="1"/>
  <c r="E518" i="2"/>
  <c r="E519" i="2" s="1"/>
  <c r="G519" i="2" s="1"/>
  <c r="I519" i="2" s="1"/>
  <c r="E520" i="2"/>
  <c r="G520" i="2" s="1"/>
  <c r="I520" i="2" s="1"/>
  <c r="G604" i="2"/>
  <c r="G612" i="2"/>
  <c r="G611" i="2"/>
  <c r="E606" i="2"/>
  <c r="G606" i="2" s="1"/>
  <c r="G609" i="2"/>
  <c r="G599" i="2"/>
  <c r="E603" i="2"/>
  <c r="E616" i="2" s="1"/>
  <c r="G616" i="2" s="1"/>
  <c r="G608" i="2"/>
  <c r="E502" i="2"/>
  <c r="E491" i="2"/>
  <c r="E489" i="2" s="1"/>
  <c r="E490" i="2" s="1"/>
  <c r="E506" i="2"/>
  <c r="E479" i="2"/>
  <c r="G479" i="2" s="1"/>
  <c r="I479" i="2" s="1"/>
  <c r="E507" i="2"/>
  <c r="E524" i="2"/>
  <c r="G524" i="2" s="1"/>
  <c r="I524" i="2" s="1"/>
  <c r="E511" i="2"/>
  <c r="E509" i="2" s="1"/>
  <c r="E510" i="2" s="1"/>
  <c r="G543" i="2"/>
  <c r="I543" i="2" s="1"/>
  <c r="E505" i="2"/>
  <c r="E512" i="2" s="1"/>
  <c r="E525" i="2"/>
  <c r="E526" i="2" s="1"/>
  <c r="G526" i="2" s="1"/>
  <c r="I526" i="2" s="1"/>
  <c r="G548" i="2"/>
  <c r="I548" i="2" s="1"/>
  <c r="E485" i="2"/>
  <c r="E492" i="2" s="1"/>
  <c r="E480" i="2"/>
  <c r="E481" i="2" s="1"/>
  <c r="G481" i="2" s="1"/>
  <c r="I481" i="2" s="1"/>
  <c r="E486" i="2"/>
  <c r="G486" i="2" s="1"/>
  <c r="I486" i="2" s="1"/>
  <c r="G482" i="2"/>
  <c r="I482" i="2" s="1"/>
  <c r="E463" i="2"/>
  <c r="G471" i="2"/>
  <c r="I471" i="2" s="1"/>
  <c r="G465" i="2"/>
  <c r="I465" i="2" s="1"/>
  <c r="G472" i="2"/>
  <c r="I472" i="2" s="1"/>
  <c r="G466" i="2"/>
  <c r="I466" i="2" s="1"/>
  <c r="E296" i="2"/>
  <c r="J295" i="2" s="1"/>
  <c r="M62" i="2"/>
  <c r="M54" i="2"/>
  <c r="M70" i="2"/>
  <c r="M144" i="2"/>
  <c r="L146" i="2"/>
  <c r="M166" i="2" s="1"/>
  <c r="M107" i="2"/>
  <c r="F298" i="2" l="1"/>
  <c r="Q298" i="2" s="1"/>
  <c r="J73" i="2"/>
  <c r="J76" i="2"/>
  <c r="G71" i="2"/>
  <c r="G542" i="2"/>
  <c r="I542" i="2" s="1"/>
  <c r="E540" i="2"/>
  <c r="E541" i="2" s="1"/>
  <c r="G541" i="2" s="1"/>
  <c r="I541" i="2" s="1"/>
  <c r="G480" i="2"/>
  <c r="I480" i="2" s="1"/>
  <c r="N49" i="2"/>
  <c r="G537" i="2"/>
  <c r="I537" i="2" s="1"/>
  <c r="G491" i="2"/>
  <c r="I491" i="2" s="1"/>
  <c r="G518" i="2"/>
  <c r="I518" i="2" s="1"/>
  <c r="E600" i="2"/>
  <c r="G603" i="2"/>
  <c r="G607" i="2"/>
  <c r="E483" i="2"/>
  <c r="G505" i="2"/>
  <c r="I505" i="2" s="1"/>
  <c r="G529" i="2"/>
  <c r="I529" i="2" s="1"/>
  <c r="E521" i="2"/>
  <c r="E530" i="2"/>
  <c r="G530" i="2" s="1"/>
  <c r="I530" i="2" s="1"/>
  <c r="G492" i="2"/>
  <c r="I492" i="2" s="1"/>
  <c r="G485" i="2"/>
  <c r="I485" i="2" s="1"/>
  <c r="E464" i="2"/>
  <c r="G464" i="2" s="1"/>
  <c r="I464" i="2" s="1"/>
  <c r="K463" i="2"/>
  <c r="G463" i="2"/>
  <c r="I463" i="2" s="1"/>
  <c r="G540" i="2" l="1"/>
  <c r="I540" i="2" s="1"/>
  <c r="G298" i="2"/>
  <c r="I298" i="2" s="1"/>
  <c r="L296" i="2"/>
  <c r="N296" i="2"/>
  <c r="R505" i="2"/>
  <c r="E601" i="2"/>
  <c r="G601" i="2" s="1"/>
  <c r="G600" i="2"/>
  <c r="G521" i="2"/>
  <c r="I521" i="2" s="1"/>
  <c r="E522" i="2"/>
  <c r="G522" i="2" s="1"/>
  <c r="I522" i="2" s="1"/>
  <c r="E484" i="2"/>
  <c r="G484" i="2" s="1"/>
  <c r="I484" i="2" s="1"/>
  <c r="G483" i="2"/>
  <c r="I483" i="2" s="1"/>
  <c r="J190" i="2" l="1"/>
  <c r="L70" i="3" l="1"/>
  <c r="L72" i="3"/>
  <c r="L71" i="3"/>
  <c r="N72" i="3"/>
  <c r="N71" i="3"/>
  <c r="N70" i="3"/>
  <c r="O70" i="3" s="1"/>
  <c r="N69" i="3"/>
  <c r="L68" i="3"/>
  <c r="M68" i="3"/>
  <c r="N68" i="3"/>
  <c r="M70" i="3"/>
  <c r="G71" i="3"/>
  <c r="I61" i="3"/>
  <c r="J61" i="3"/>
  <c r="G68" i="3"/>
  <c r="K65" i="3"/>
  <c r="E51" i="3" l="1"/>
  <c r="E55" i="3"/>
  <c r="E60" i="3"/>
  <c r="G60" i="3"/>
  <c r="F61" i="3" s="1"/>
  <c r="I11" i="3"/>
  <c r="I7" i="3"/>
  <c r="K235" i="2" l="1"/>
  <c r="L235" i="2" s="1"/>
  <c r="E240" i="2"/>
  <c r="E244" i="2" l="1"/>
  <c r="E245" i="2" s="1"/>
  <c r="F573" i="2"/>
  <c r="G573" i="2" s="1"/>
  <c r="F53" i="4" s="1"/>
  <c r="G53" i="4" s="1"/>
  <c r="E576" i="2"/>
  <c r="G591" i="2"/>
  <c r="F583" i="2"/>
  <c r="F582" i="2"/>
  <c r="F580" i="2"/>
  <c r="G186" i="2"/>
  <c r="G185" i="2"/>
  <c r="G184" i="2"/>
  <c r="G183" i="2"/>
  <c r="G182" i="2"/>
  <c r="G181" i="2"/>
  <c r="G180" i="2"/>
  <c r="G179" i="2"/>
  <c r="G178" i="2"/>
  <c r="G176" i="2"/>
  <c r="G175" i="2"/>
  <c r="G174" i="2"/>
  <c r="G173" i="2"/>
  <c r="G172" i="2"/>
  <c r="G171" i="2"/>
  <c r="G169" i="2"/>
  <c r="G166" i="2"/>
  <c r="G165" i="2"/>
  <c r="G164" i="2"/>
  <c r="G163" i="2"/>
  <c r="G162" i="2"/>
  <c r="G161" i="2"/>
  <c r="G160" i="2"/>
  <c r="G159" i="2"/>
  <c r="G158" i="2"/>
  <c r="G156" i="2"/>
  <c r="G155" i="2"/>
  <c r="G154" i="2"/>
  <c r="G153" i="2"/>
  <c r="G152" i="2"/>
  <c r="G151" i="2"/>
  <c r="G150" i="2"/>
  <c r="G149" i="2"/>
  <c r="G148" i="2"/>
  <c r="G147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7" i="2"/>
  <c r="G106" i="2"/>
  <c r="G105" i="2"/>
  <c r="G104" i="2"/>
  <c r="G103" i="2"/>
  <c r="G102" i="2"/>
  <c r="G101" i="2"/>
  <c r="G100" i="2"/>
  <c r="G99" i="2"/>
  <c r="G98" i="2"/>
  <c r="G97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69" i="2"/>
  <c r="G66" i="2"/>
  <c r="G65" i="2"/>
  <c r="G62" i="2"/>
  <c r="G61" i="2"/>
  <c r="G60" i="2"/>
  <c r="G59" i="2"/>
  <c r="G58" i="2"/>
  <c r="G54" i="2"/>
  <c r="G53" i="2"/>
  <c r="G52" i="2"/>
  <c r="G51" i="2"/>
  <c r="G50" i="2"/>
  <c r="K45" i="2"/>
  <c r="M44" i="2"/>
  <c r="I37" i="3"/>
  <c r="I46" i="3"/>
  <c r="I40" i="3"/>
  <c r="E586" i="2" l="1"/>
  <c r="E587" i="2" s="1"/>
  <c r="G587" i="2" s="1"/>
  <c r="E593" i="2"/>
  <c r="E594" i="2" s="1"/>
  <c r="E578" i="2"/>
  <c r="G578" i="2" s="1"/>
  <c r="E584" i="2"/>
  <c r="E585" i="2" s="1"/>
  <c r="G585" i="2" s="1"/>
  <c r="E583" i="2"/>
  <c r="G583" i="2" s="1"/>
  <c r="E592" i="2"/>
  <c r="F45" i="2"/>
  <c r="G45" i="2" s="1"/>
  <c r="G46" i="2" s="1"/>
  <c r="G73" i="2"/>
  <c r="F73" i="2" s="1"/>
  <c r="E588" i="2"/>
  <c r="G588" i="2" s="1"/>
  <c r="E582" i="2"/>
  <c r="G170" i="2"/>
  <c r="L170" i="2"/>
  <c r="K190" i="2"/>
  <c r="G590" i="2"/>
  <c r="L44" i="2"/>
  <c r="N44" i="2" s="1"/>
  <c r="O44" i="2"/>
  <c r="E579" i="2" l="1"/>
  <c r="E580" i="2" s="1"/>
  <c r="G580" i="2" s="1"/>
  <c r="E595" i="2"/>
  <c r="G595" i="2" s="1"/>
  <c r="G586" i="2"/>
  <c r="G582" i="2"/>
  <c r="G579" i="2"/>
  <c r="E508" i="2"/>
  <c r="G508" i="2" s="1"/>
  <c r="G499" i="2"/>
  <c r="G502" i="2"/>
  <c r="G511" i="2"/>
  <c r="G506" i="2"/>
  <c r="L190" i="2"/>
  <c r="M190" i="2" s="1"/>
  <c r="F188" i="2" s="1"/>
  <c r="M187" i="2"/>
  <c r="N187" i="2" s="1"/>
  <c r="R508" i="2" l="1"/>
  <c r="I508" i="2"/>
  <c r="R511" i="2"/>
  <c r="I511" i="2"/>
  <c r="R506" i="2"/>
  <c r="I506" i="2"/>
  <c r="R502" i="2"/>
  <c r="I502" i="2"/>
  <c r="R499" i="2"/>
  <c r="I499" i="2"/>
  <c r="F46" i="2"/>
  <c r="F189" i="2"/>
  <c r="G189" i="2" s="1"/>
  <c r="G188" i="2"/>
  <c r="G190" i="2" s="1"/>
  <c r="G512" i="2"/>
  <c r="E503" i="2"/>
  <c r="E501" i="2"/>
  <c r="G501" i="2" s="1"/>
  <c r="G500" i="2"/>
  <c r="I46" i="2" l="1"/>
  <c r="E32" i="4"/>
  <c r="F32" i="4" s="1"/>
  <c r="R501" i="2"/>
  <c r="I501" i="2"/>
  <c r="R512" i="2"/>
  <c r="I512" i="2"/>
  <c r="R500" i="2"/>
  <c r="I500" i="2"/>
  <c r="F190" i="2"/>
  <c r="E504" i="2"/>
  <c r="G504" i="2" s="1"/>
  <c r="G503" i="2"/>
  <c r="I503" i="2" s="1"/>
  <c r="L18" i="2"/>
  <c r="M18" i="2"/>
  <c r="M26" i="2"/>
  <c r="L26" i="2"/>
  <c r="K33" i="3"/>
  <c r="K36" i="3"/>
  <c r="M33" i="3"/>
  <c r="L36" i="3"/>
  <c r="J36" i="3"/>
  <c r="J35" i="3"/>
  <c r="L34" i="3"/>
  <c r="K34" i="3"/>
  <c r="J34" i="3"/>
  <c r="L33" i="3"/>
  <c r="J33" i="3"/>
  <c r="M76" i="3"/>
  <c r="M75" i="3"/>
  <c r="M74" i="3"/>
  <c r="M72" i="3"/>
  <c r="M71" i="3"/>
  <c r="G69" i="3"/>
  <c r="P78" i="3" s="1"/>
  <c r="G67" i="3"/>
  <c r="G66" i="3"/>
  <c r="G65" i="3"/>
  <c r="G64" i="3"/>
  <c r="E61" i="3"/>
  <c r="O56" i="3"/>
  <c r="O57" i="3" s="1"/>
  <c r="F50" i="3"/>
  <c r="G50" i="3" s="1"/>
  <c r="E50" i="3"/>
  <c r="F49" i="3"/>
  <c r="D48" i="3"/>
  <c r="E47" i="3"/>
  <c r="E49" i="3" s="1"/>
  <c r="G49" i="3" s="1"/>
  <c r="F46" i="3"/>
  <c r="G45" i="3"/>
  <c r="E45" i="3"/>
  <c r="E46" i="3" s="1"/>
  <c r="G46" i="3" s="1"/>
  <c r="G44" i="3"/>
  <c r="D42" i="3"/>
  <c r="E41" i="3"/>
  <c r="E43" i="3" s="1"/>
  <c r="G43" i="3" s="1"/>
  <c r="E39" i="3"/>
  <c r="E40" i="3" s="1"/>
  <c r="G40" i="3" s="1"/>
  <c r="F37" i="3"/>
  <c r="F36" i="3"/>
  <c r="D35" i="3"/>
  <c r="E34" i="3"/>
  <c r="E37" i="3" s="1"/>
  <c r="G37" i="3" s="1"/>
  <c r="F33" i="3"/>
  <c r="E32" i="3"/>
  <c r="E28" i="3"/>
  <c r="E26" i="3" s="1"/>
  <c r="E27" i="3"/>
  <c r="E29" i="3" s="1"/>
  <c r="E30" i="3" s="1"/>
  <c r="G30" i="3" s="1"/>
  <c r="F26" i="3"/>
  <c r="G26" i="3" s="1"/>
  <c r="G25" i="3"/>
  <c r="E25" i="3"/>
  <c r="E52" i="3" s="1"/>
  <c r="E54" i="3" s="1"/>
  <c r="G54" i="3" s="1"/>
  <c r="E23" i="3"/>
  <c r="G23" i="3" s="1"/>
  <c r="D23" i="3"/>
  <c r="G22" i="3"/>
  <c r="G21" i="3"/>
  <c r="G20" i="3"/>
  <c r="G19" i="3"/>
  <c r="F19" i="3"/>
  <c r="F17" i="3"/>
  <c r="E16" i="3"/>
  <c r="D17" i="3" s="1"/>
  <c r="D18" i="3" s="1"/>
  <c r="G18" i="3" s="1"/>
  <c r="F14" i="3"/>
  <c r="E13" i="3"/>
  <c r="D14" i="3" s="1"/>
  <c r="C95" i="1"/>
  <c r="C94" i="1"/>
  <c r="C93" i="1"/>
  <c r="C92" i="1"/>
  <c r="C91" i="1"/>
  <c r="C90" i="1"/>
  <c r="C66" i="1"/>
  <c r="C65" i="1"/>
  <c r="C64" i="1"/>
  <c r="C63" i="1"/>
  <c r="C62" i="1"/>
  <c r="C61" i="1"/>
  <c r="R504" i="2" l="1"/>
  <c r="I504" i="2"/>
  <c r="R503" i="2"/>
  <c r="N18" i="2"/>
  <c r="O18" i="2" s="1"/>
  <c r="N26" i="2"/>
  <c r="O26" i="2" s="1"/>
  <c r="F26" i="2" s="1"/>
  <c r="G14" i="3"/>
  <c r="D58" i="3"/>
  <c r="G58" i="3" s="1"/>
  <c r="D15" i="3"/>
  <c r="G15" i="3" s="1"/>
  <c r="G55" i="3"/>
  <c r="G17" i="3"/>
  <c r="M69" i="3"/>
  <c r="E42" i="3"/>
  <c r="G42" i="3" s="1"/>
  <c r="G32" i="3"/>
  <c r="L35" i="3"/>
  <c r="G39" i="3"/>
  <c r="E33" i="3"/>
  <c r="E36" i="3"/>
  <c r="G36" i="3" s="1"/>
  <c r="E48" i="3"/>
  <c r="G48" i="3" s="1"/>
  <c r="K35" i="3" s="1"/>
  <c r="E57" i="3"/>
  <c r="G57" i="3" s="1"/>
  <c r="E35" i="3"/>
  <c r="G35" i="3" s="1"/>
  <c r="P26" i="2" l="1"/>
  <c r="G26" i="2"/>
  <c r="P18" i="2"/>
  <c r="G18" i="2"/>
  <c r="I18" i="2" s="1"/>
  <c r="E29" i="4" s="1"/>
  <c r="F29" i="4" s="1"/>
  <c r="G61" i="3"/>
  <c r="G33" i="3"/>
  <c r="E56" i="3"/>
  <c r="G56" i="3" s="1"/>
  <c r="J7" i="3" l="1"/>
  <c r="K7" i="3"/>
  <c r="O68" i="3"/>
  <c r="P68" i="3" s="1"/>
  <c r="N75" i="3"/>
  <c r="O75" i="3" s="1"/>
  <c r="O71" i="3"/>
  <c r="P71" i="3" s="1"/>
  <c r="O69" i="3"/>
  <c r="N76" i="3"/>
  <c r="O76" i="3" s="1"/>
  <c r="P76" i="3" s="1"/>
  <c r="O72" i="3"/>
  <c r="P72" i="3" s="1"/>
  <c r="P70" i="3"/>
  <c r="E571" i="2"/>
  <c r="G571" i="2" s="1"/>
  <c r="F570" i="2"/>
  <c r="G570" i="2" s="1"/>
  <c r="L568" i="2"/>
  <c r="K568" i="2"/>
  <c r="F566" i="2"/>
  <c r="E566" i="2"/>
  <c r="F565" i="2"/>
  <c r="F564" i="2"/>
  <c r="G564" i="2" s="1"/>
  <c r="F563" i="2"/>
  <c r="G563" i="2" s="1"/>
  <c r="G280" i="2"/>
  <c r="F279" i="2"/>
  <c r="F278" i="2"/>
  <c r="F277" i="2"/>
  <c r="E277" i="2"/>
  <c r="E278" i="2" s="1"/>
  <c r="F276" i="2"/>
  <c r="D275" i="2"/>
  <c r="F274" i="2"/>
  <c r="D274" i="2"/>
  <c r="D276" i="2" s="1"/>
  <c r="E273" i="2"/>
  <c r="D273" i="2"/>
  <c r="D272" i="2"/>
  <c r="F271" i="2"/>
  <c r="D271" i="2"/>
  <c r="E270" i="2"/>
  <c r="G270" i="2" s="1"/>
  <c r="E268" i="2"/>
  <c r="E269" i="2" s="1"/>
  <c r="E267" i="2"/>
  <c r="E279" i="2" s="1"/>
  <c r="G265" i="2"/>
  <c r="F264" i="2"/>
  <c r="F263" i="2"/>
  <c r="F262" i="2"/>
  <c r="E262" i="2"/>
  <c r="E263" i="2" s="1"/>
  <c r="F261" i="2"/>
  <c r="F260" i="2"/>
  <c r="F258" i="2"/>
  <c r="F273" i="2" s="1"/>
  <c r="D258" i="2"/>
  <c r="F257" i="2"/>
  <c r="F272" i="2" s="1"/>
  <c r="D257" i="2"/>
  <c r="D256" i="2"/>
  <c r="F255" i="2"/>
  <c r="E254" i="2"/>
  <c r="D259" i="2" s="1"/>
  <c r="D261" i="2" s="1"/>
  <c r="D262" i="2" s="1"/>
  <c r="G253" i="2"/>
  <c r="F252" i="2"/>
  <c r="F251" i="2"/>
  <c r="E251" i="2"/>
  <c r="E252" i="2" s="1"/>
  <c r="F249" i="2"/>
  <c r="E249" i="2"/>
  <c r="F248" i="2"/>
  <c r="F247" i="2"/>
  <c r="K246" i="2"/>
  <c r="F245" i="2"/>
  <c r="Q244" i="2"/>
  <c r="G243" i="2"/>
  <c r="F242" i="2"/>
  <c r="F241" i="2"/>
  <c r="E241" i="2"/>
  <c r="E242" i="2" s="1"/>
  <c r="F240" i="2"/>
  <c r="F239" i="2"/>
  <c r="E239" i="2"/>
  <c r="F238" i="2"/>
  <c r="E238" i="2"/>
  <c r="F237" i="2"/>
  <c r="F236" i="2"/>
  <c r="D235" i="2"/>
  <c r="D236" i="2" s="1"/>
  <c r="F230" i="2"/>
  <c r="F229" i="2"/>
  <c r="E229" i="2"/>
  <c r="E230" i="2" s="1"/>
  <c r="F228" i="2"/>
  <c r="F227" i="2"/>
  <c r="E227" i="2"/>
  <c r="F226" i="2"/>
  <c r="F225" i="2"/>
  <c r="E224" i="2"/>
  <c r="D225" i="2" s="1"/>
  <c r="E223" i="2"/>
  <c r="E221" i="2"/>
  <c r="K220" i="2"/>
  <c r="F218" i="2"/>
  <c r="F217" i="2"/>
  <c r="F216" i="2"/>
  <c r="F215" i="2"/>
  <c r="F214" i="2"/>
  <c r="F213" i="2"/>
  <c r="E213" i="2"/>
  <c r="E215" i="2" s="1"/>
  <c r="F212" i="2"/>
  <c r="F211" i="2"/>
  <c r="E210" i="2"/>
  <c r="E216" i="2" s="1"/>
  <c r="E209" i="2"/>
  <c r="E207" i="2"/>
  <c r="E206" i="2"/>
  <c r="F204" i="2"/>
  <c r="F203" i="2"/>
  <c r="F201" i="2"/>
  <c r="F200" i="2"/>
  <c r="F199" i="2"/>
  <c r="E199" i="2"/>
  <c r="F198" i="2"/>
  <c r="F197" i="2"/>
  <c r="E196" i="2"/>
  <c r="D197" i="2" s="1"/>
  <c r="F36" i="2"/>
  <c r="F35" i="2"/>
  <c r="F34" i="2"/>
  <c r="F33" i="2"/>
  <c r="F32" i="2"/>
  <c r="F31" i="2"/>
  <c r="E31" i="2"/>
  <c r="E33" i="2" s="1"/>
  <c r="F30" i="2"/>
  <c r="E28" i="2"/>
  <c r="E27" i="2" s="1"/>
  <c r="A20" i="2"/>
  <c r="A27" i="2" s="1"/>
  <c r="A38" i="2" s="1"/>
  <c r="A39" i="2" s="1"/>
  <c r="A40" i="2" s="1"/>
  <c r="A41" i="2" s="1"/>
  <c r="G216" i="2" l="1"/>
  <c r="G197" i="2"/>
  <c r="G566" i="2"/>
  <c r="P69" i="3"/>
  <c r="L69" i="3"/>
  <c r="L7" i="3"/>
  <c r="M7" i="3" s="1"/>
  <c r="N7" i="3"/>
  <c r="J11" i="3"/>
  <c r="O74" i="3"/>
  <c r="N74" i="3" s="1"/>
  <c r="P75" i="3"/>
  <c r="E255" i="2"/>
  <c r="Q254" i="2"/>
  <c r="R254" i="2" s="1"/>
  <c r="E271" i="2"/>
  <c r="E272" i="2" s="1"/>
  <c r="G272" i="2" s="1"/>
  <c r="G273" i="2"/>
  <c r="M568" i="2"/>
  <c r="F568" i="2" s="1"/>
  <c r="G568" i="2" s="1"/>
  <c r="E217" i="2"/>
  <c r="E218" i="2" s="1"/>
  <c r="G279" i="2"/>
  <c r="G239" i="2"/>
  <c r="E29" i="2"/>
  <c r="D30" i="2" s="1"/>
  <c r="D31" i="2" s="1"/>
  <c r="D33" i="2" s="1"/>
  <c r="G33" i="2" s="1"/>
  <c r="E264" i="2"/>
  <c r="G264" i="2" s="1"/>
  <c r="E258" i="2"/>
  <c r="G258" i="2" s="1"/>
  <c r="D227" i="2"/>
  <c r="G227" i="2" s="1"/>
  <c r="D230" i="2"/>
  <c r="G230" i="2" s="1"/>
  <c r="D226" i="2"/>
  <c r="G226" i="2" s="1"/>
  <c r="D229" i="2"/>
  <c r="G229" i="2" s="1"/>
  <c r="D277" i="2"/>
  <c r="D278" i="2" s="1"/>
  <c r="G278" i="2" s="1"/>
  <c r="G276" i="2"/>
  <c r="G240" i="2"/>
  <c r="D246" i="2"/>
  <c r="D247" i="2" s="1"/>
  <c r="D249" i="2" s="1"/>
  <c r="G274" i="2"/>
  <c r="L220" i="2"/>
  <c r="G225" i="2"/>
  <c r="M220" i="2"/>
  <c r="E201" i="2"/>
  <c r="G245" i="2"/>
  <c r="F202" i="2"/>
  <c r="K206" i="2"/>
  <c r="D203" i="2"/>
  <c r="D198" i="2"/>
  <c r="G198" i="2" s="1"/>
  <c r="D204" i="2"/>
  <c r="D199" i="2"/>
  <c r="G199" i="2" s="1"/>
  <c r="E203" i="2"/>
  <c r="F275" i="2"/>
  <c r="D238" i="2"/>
  <c r="D237" i="2"/>
  <c r="G237" i="2" s="1"/>
  <c r="D263" i="2"/>
  <c r="G263" i="2" s="1"/>
  <c r="G262" i="2"/>
  <c r="G236" i="2"/>
  <c r="F250" i="2"/>
  <c r="D260" i="2"/>
  <c r="G260" i="2" s="1"/>
  <c r="G261" i="2"/>
  <c r="E35" i="2"/>
  <c r="D211" i="2"/>
  <c r="G211" i="2" s="1"/>
  <c r="F259" i="2"/>
  <c r="G259" i="2" s="1"/>
  <c r="G31" i="2" l="1"/>
  <c r="G30" i="2"/>
  <c r="G203" i="2"/>
  <c r="F569" i="2"/>
  <c r="E256" i="2"/>
  <c r="E257" i="2" s="1"/>
  <c r="G257" i="2" s="1"/>
  <c r="G271" i="2"/>
  <c r="Q255" i="2"/>
  <c r="Q253" i="2"/>
  <c r="P74" i="3"/>
  <c r="P80" i="3" s="1"/>
  <c r="G72" i="3" s="1"/>
  <c r="G73" i="3" s="1"/>
  <c r="G255" i="2"/>
  <c r="D250" i="2"/>
  <c r="G250" i="2" s="1"/>
  <c r="D248" i="2"/>
  <c r="G248" i="2" s="1"/>
  <c r="D32" i="2"/>
  <c r="G32" i="2" s="1"/>
  <c r="D36" i="2"/>
  <c r="N220" i="2"/>
  <c r="O220" i="2" s="1"/>
  <c r="P220" i="2" s="1"/>
  <c r="D35" i="2"/>
  <c r="G35" i="2" s="1"/>
  <c r="G247" i="2"/>
  <c r="D228" i="2"/>
  <c r="G228" i="2" s="1"/>
  <c r="K223" i="2" s="1"/>
  <c r="G277" i="2"/>
  <c r="E204" i="2"/>
  <c r="G204" i="2" s="1"/>
  <c r="D200" i="2"/>
  <c r="G200" i="2" s="1"/>
  <c r="D201" i="2"/>
  <c r="G201" i="2" s="1"/>
  <c r="G249" i="2"/>
  <c r="D251" i="2"/>
  <c r="G275" i="2"/>
  <c r="G238" i="2"/>
  <c r="D241" i="2"/>
  <c r="D218" i="2"/>
  <c r="G218" i="2" s="1"/>
  <c r="D212" i="2"/>
  <c r="G212" i="2" s="1"/>
  <c r="D217" i="2"/>
  <c r="G217" i="2" s="1"/>
  <c r="E36" i="2"/>
  <c r="G36" i="2" s="1"/>
  <c r="M206" i="2"/>
  <c r="L206" i="2"/>
  <c r="G569" i="2" l="1"/>
  <c r="G562" i="2" s="1"/>
  <c r="F51" i="4" s="1"/>
  <c r="G256" i="2"/>
  <c r="K254" i="2" s="1"/>
  <c r="M254" i="2" s="1"/>
  <c r="K266" i="2"/>
  <c r="L266" i="2" s="1"/>
  <c r="E72" i="3"/>
  <c r="N206" i="2"/>
  <c r="O206" i="2" s="1"/>
  <c r="P206" i="2" s="1"/>
  <c r="D34" i="2"/>
  <c r="G34" i="2" s="1"/>
  <c r="M223" i="2"/>
  <c r="L223" i="2"/>
  <c r="D213" i="2"/>
  <c r="G213" i="2" s="1"/>
  <c r="D242" i="2"/>
  <c r="G242" i="2" s="1"/>
  <c r="G241" i="2"/>
  <c r="D202" i="2"/>
  <c r="D252" i="2"/>
  <c r="G252" i="2" s="1"/>
  <c r="G251" i="2"/>
  <c r="G51" i="4" l="1"/>
  <c r="G202" i="2"/>
  <c r="K195" i="2" s="1"/>
  <c r="K569" i="2"/>
  <c r="L254" i="2"/>
  <c r="N254" i="2" s="1"/>
  <c r="O254" i="2" s="1"/>
  <c r="F254" i="2" s="1"/>
  <c r="F306" i="2" s="1"/>
  <c r="K199" i="2"/>
  <c r="M266" i="2"/>
  <c r="N266" i="2" s="1"/>
  <c r="O266" i="2" s="1"/>
  <c r="F266" i="2" s="1"/>
  <c r="K27" i="2"/>
  <c r="M27" i="2" s="1"/>
  <c r="L25" i="2"/>
  <c r="G74" i="3"/>
  <c r="G75" i="3"/>
  <c r="N223" i="2"/>
  <c r="M19" i="2"/>
  <c r="K244" i="2"/>
  <c r="K234" i="2"/>
  <c r="D215" i="2"/>
  <c r="G215" i="2" s="1"/>
  <c r="D214" i="2"/>
  <c r="G214" i="2" s="1"/>
  <c r="F614" i="2" l="1"/>
  <c r="F615" i="2" s="1"/>
  <c r="F593" i="2"/>
  <c r="F594" i="2" s="1"/>
  <c r="F420" i="2"/>
  <c r="F435" i="2"/>
  <c r="F404" i="2"/>
  <c r="F388" i="2"/>
  <c r="F372" i="2"/>
  <c r="F356" i="2"/>
  <c r="F454" i="2"/>
  <c r="F294" i="2"/>
  <c r="G294" i="2" s="1"/>
  <c r="K291" i="2" s="1"/>
  <c r="M195" i="2"/>
  <c r="G306" i="2"/>
  <c r="F310" i="2"/>
  <c r="F315" i="2"/>
  <c r="G315" i="2" s="1"/>
  <c r="F309" i="2"/>
  <c r="G309" i="2" s="1"/>
  <c r="F311" i="2"/>
  <c r="G311" i="2" s="1"/>
  <c r="F314" i="2"/>
  <c r="G314" i="2" s="1"/>
  <c r="F312" i="2"/>
  <c r="G312" i="2" s="1"/>
  <c r="F313" i="2"/>
  <c r="G313" i="2" s="1"/>
  <c r="O223" i="2"/>
  <c r="F223" i="2" s="1"/>
  <c r="F303" i="2" s="1"/>
  <c r="G303" i="2" s="1"/>
  <c r="I303" i="2" s="1"/>
  <c r="F546" i="2"/>
  <c r="F547" i="2" s="1"/>
  <c r="G547" i="2" s="1"/>
  <c r="I547" i="2" s="1"/>
  <c r="F509" i="2"/>
  <c r="G509" i="2" s="1"/>
  <c r="I509" i="2" s="1"/>
  <c r="F527" i="2"/>
  <c r="F469" i="2"/>
  <c r="F489" i="2"/>
  <c r="G76" i="3"/>
  <c r="P254" i="2"/>
  <c r="L27" i="2"/>
  <c r="N27" i="2" s="1"/>
  <c r="O27" i="2" s="1"/>
  <c r="P27" i="2" s="1"/>
  <c r="P266" i="2"/>
  <c r="M25" i="2"/>
  <c r="N25" i="2" s="1"/>
  <c r="O25" i="2" s="1"/>
  <c r="F25" i="2" s="1"/>
  <c r="L19" i="2"/>
  <c r="N19" i="2" s="1"/>
  <c r="O19" i="2" s="1"/>
  <c r="L195" i="2"/>
  <c r="N195" i="2" s="1"/>
  <c r="O195" i="2" s="1"/>
  <c r="P195" i="2" s="1"/>
  <c r="K209" i="2"/>
  <c r="M234" i="2"/>
  <c r="L234" i="2"/>
  <c r="M244" i="2"/>
  <c r="L244" i="2"/>
  <c r="I306" i="2" l="1"/>
  <c r="F455" i="2"/>
  <c r="G455" i="2" s="1"/>
  <c r="I455" i="2" s="1"/>
  <c r="G454" i="2"/>
  <c r="I454" i="2" s="1"/>
  <c r="G356" i="2"/>
  <c r="I356" i="2" s="1"/>
  <c r="F357" i="2"/>
  <c r="G357" i="2" s="1"/>
  <c r="I357" i="2" s="1"/>
  <c r="F373" i="2"/>
  <c r="G373" i="2" s="1"/>
  <c r="I373" i="2" s="1"/>
  <c r="G372" i="2"/>
  <c r="F405" i="2"/>
  <c r="G405" i="2" s="1"/>
  <c r="I405" i="2" s="1"/>
  <c r="G404" i="2"/>
  <c r="I404" i="2" s="1"/>
  <c r="F389" i="2"/>
  <c r="G389" i="2" s="1"/>
  <c r="I389" i="2" s="1"/>
  <c r="G388" i="2"/>
  <c r="I388" i="2" s="1"/>
  <c r="G435" i="2"/>
  <c r="F436" i="2"/>
  <c r="G436" i="2" s="1"/>
  <c r="F421" i="2"/>
  <c r="G421" i="2" s="1"/>
  <c r="G420" i="2"/>
  <c r="L291" i="2"/>
  <c r="M291" i="2"/>
  <c r="G310" i="2"/>
  <c r="I309" i="2" s="1"/>
  <c r="P223" i="2"/>
  <c r="F510" i="2"/>
  <c r="G510" i="2" s="1"/>
  <c r="G546" i="2"/>
  <c r="G615" i="2"/>
  <c r="G614" i="2"/>
  <c r="G527" i="2"/>
  <c r="I527" i="2" s="1"/>
  <c r="F528" i="2"/>
  <c r="G528" i="2" s="1"/>
  <c r="I528" i="2" s="1"/>
  <c r="F490" i="2"/>
  <c r="G490" i="2" s="1"/>
  <c r="I490" i="2" s="1"/>
  <c r="G489" i="2"/>
  <c r="I489" i="2" s="1"/>
  <c r="F470" i="2"/>
  <c r="G470" i="2" s="1"/>
  <c r="I470" i="2" s="1"/>
  <c r="G469" i="2"/>
  <c r="I469" i="2" s="1"/>
  <c r="G594" i="2"/>
  <c r="G593" i="2"/>
  <c r="F27" i="2"/>
  <c r="F289" i="2" s="1"/>
  <c r="P19" i="2"/>
  <c r="G19" i="2"/>
  <c r="I19" i="2" s="1"/>
  <c r="E30" i="4" s="1"/>
  <c r="F30" i="4" s="1"/>
  <c r="P25" i="2"/>
  <c r="G25" i="2"/>
  <c r="N234" i="2"/>
  <c r="O234" i="2" s="1"/>
  <c r="P234" i="2" s="1"/>
  <c r="F195" i="2"/>
  <c r="F290" i="2" s="1"/>
  <c r="N244" i="2"/>
  <c r="O244" i="2" s="1"/>
  <c r="L209" i="2"/>
  <c r="M209" i="2"/>
  <c r="K363" i="2" l="1"/>
  <c r="I372" i="2"/>
  <c r="E31" i="4"/>
  <c r="F31" i="4" s="1"/>
  <c r="I21" i="2"/>
  <c r="F34" i="4"/>
  <c r="G34" i="4" s="1"/>
  <c r="F513" i="2"/>
  <c r="G513" i="2" s="1"/>
  <c r="I510" i="2"/>
  <c r="F550" i="2"/>
  <c r="I546" i="2"/>
  <c r="N291" i="2"/>
  <c r="O291" i="2" s="1"/>
  <c r="P291" i="2" s="1"/>
  <c r="K394" i="2"/>
  <c r="M394" i="2" s="1"/>
  <c r="G192" i="2"/>
  <c r="R510" i="2"/>
  <c r="K378" i="2"/>
  <c r="M378" i="2" s="1"/>
  <c r="F493" i="2"/>
  <c r="G493" i="2" s="1"/>
  <c r="K444" i="2"/>
  <c r="M444" i="2" s="1"/>
  <c r="F531" i="2"/>
  <c r="G531" i="2" s="1"/>
  <c r="K346" i="2"/>
  <c r="M346" i="2" s="1"/>
  <c r="K459" i="2"/>
  <c r="M459" i="2" s="1"/>
  <c r="R509" i="2"/>
  <c r="K410" i="2"/>
  <c r="M410" i="2" s="1"/>
  <c r="M363" i="2"/>
  <c r="N209" i="2"/>
  <c r="F244" i="2"/>
  <c r="F305" i="2" s="1"/>
  <c r="G305" i="2" s="1"/>
  <c r="F206" i="2"/>
  <c r="F234" i="2"/>
  <c r="F304" i="2" s="1"/>
  <c r="G304" i="2" s="1"/>
  <c r="I304" i="2" s="1"/>
  <c r="P244" i="2"/>
  <c r="K497" i="2" l="1"/>
  <c r="I513" i="2"/>
  <c r="K515" i="2"/>
  <c r="I531" i="2"/>
  <c r="K477" i="2"/>
  <c r="M477" i="2" s="1"/>
  <c r="I493" i="2"/>
  <c r="I305" i="2"/>
  <c r="J309" i="2" s="1"/>
  <c r="F291" i="2"/>
  <c r="G291" i="2" s="1"/>
  <c r="I291" i="2" s="1"/>
  <c r="O209" i="2"/>
  <c r="F209" i="2" s="1"/>
  <c r="F295" i="2" s="1"/>
  <c r="G289" i="2"/>
  <c r="I289" i="2" s="1"/>
  <c r="G290" i="2"/>
  <c r="I290" i="2" s="1"/>
  <c r="R513" i="2"/>
  <c r="Q513" i="2" s="1"/>
  <c r="L459" i="2"/>
  <c r="N459" i="2" s="1"/>
  <c r="O459" i="2" s="1"/>
  <c r="F459" i="2" s="1"/>
  <c r="G459" i="2" s="1"/>
  <c r="I459" i="2" s="1"/>
  <c r="M497" i="2"/>
  <c r="L497" i="2"/>
  <c r="L346" i="2"/>
  <c r="N346" i="2" s="1"/>
  <c r="O346" i="2" s="1"/>
  <c r="F346" i="2" s="1"/>
  <c r="L444" i="2"/>
  <c r="L410" i="2"/>
  <c r="L394" i="2"/>
  <c r="N394" i="2" s="1"/>
  <c r="O394" i="2" s="1"/>
  <c r="F394" i="2" s="1"/>
  <c r="G394" i="2" s="1"/>
  <c r="I394" i="2" s="1"/>
  <c r="L378" i="2"/>
  <c r="L363" i="2"/>
  <c r="L477" i="2" l="1"/>
  <c r="N477" i="2" s="1"/>
  <c r="O477" i="2" s="1"/>
  <c r="F41" i="4"/>
  <c r="G41" i="4" s="1"/>
  <c r="J291" i="2"/>
  <c r="K293" i="2" s="1"/>
  <c r="F39" i="4"/>
  <c r="G39" i="4" s="1"/>
  <c r="Q291" i="2"/>
  <c r="G346" i="2"/>
  <c r="F362" i="2"/>
  <c r="G362" i="2" s="1"/>
  <c r="I362" i="2" s="1"/>
  <c r="P209" i="2"/>
  <c r="R209" i="2"/>
  <c r="Q209" i="2" s="1"/>
  <c r="F220" i="2" s="1"/>
  <c r="G231" i="2"/>
  <c r="P477" i="2"/>
  <c r="F477" i="2"/>
  <c r="R459" i="2"/>
  <c r="F496" i="2"/>
  <c r="P346" i="2"/>
  <c r="N497" i="2"/>
  <c r="O497" i="2" s="1"/>
  <c r="N444" i="2"/>
  <c r="O444" i="2" s="1"/>
  <c r="P459" i="2"/>
  <c r="N378" i="2"/>
  <c r="O378" i="2" s="1"/>
  <c r="F378" i="2" s="1"/>
  <c r="N363" i="2"/>
  <c r="O363" i="2" s="1"/>
  <c r="F363" i="2" s="1"/>
  <c r="G363" i="2" s="1"/>
  <c r="I363" i="2" s="1"/>
  <c r="N410" i="2"/>
  <c r="O410" i="2" s="1"/>
  <c r="F410" i="2" s="1"/>
  <c r="G410" i="2" s="1"/>
  <c r="I410" i="2" s="1"/>
  <c r="I346" i="2" l="1"/>
  <c r="F393" i="2"/>
  <c r="G393" i="2" s="1"/>
  <c r="I393" i="2" s="1"/>
  <c r="G378" i="2"/>
  <c r="I378" i="2" s="1"/>
  <c r="P444" i="2"/>
  <c r="F444" i="2"/>
  <c r="G444" i="2" s="1"/>
  <c r="I444" i="2" s="1"/>
  <c r="G295" i="2"/>
  <c r="F296" i="2"/>
  <c r="G296" i="2" s="1"/>
  <c r="I296" i="2" s="1"/>
  <c r="K474" i="2"/>
  <c r="F474" i="2" s="1"/>
  <c r="R344" i="2"/>
  <c r="P378" i="2"/>
  <c r="F497" i="2"/>
  <c r="Q497" i="2" s="1"/>
  <c r="P410" i="2"/>
  <c r="P497" i="2"/>
  <c r="Q346" i="2"/>
  <c r="G496" i="2"/>
  <c r="I496" i="2" s="1"/>
  <c r="Q477" i="2"/>
  <c r="Q459" i="2"/>
  <c r="G477" i="2"/>
  <c r="F553" i="2"/>
  <c r="G553" i="2" s="1"/>
  <c r="I553" i="2" s="1"/>
  <c r="R477" i="2" l="1"/>
  <c r="I477" i="2"/>
  <c r="I295" i="2"/>
  <c r="F297" i="2"/>
  <c r="G297" i="2" s="1"/>
  <c r="I297" i="2" s="1"/>
  <c r="P394" i="2"/>
  <c r="Q394" i="2"/>
  <c r="M515" i="2"/>
  <c r="L515" i="2"/>
  <c r="G497" i="2"/>
  <c r="G474" i="2"/>
  <c r="I474" i="2" s="1"/>
  <c r="Q444" i="2"/>
  <c r="P363" i="2"/>
  <c r="Q410" i="2"/>
  <c r="Q378" i="2"/>
  <c r="G316" i="2" l="1"/>
  <c r="F36" i="4" s="1"/>
  <c r="J289" i="2"/>
  <c r="F37" i="4"/>
  <c r="R497" i="2"/>
  <c r="F592" i="2" s="1"/>
  <c r="G592" i="2" s="1"/>
  <c r="K576" i="2" s="1"/>
  <c r="I497" i="2"/>
  <c r="G36" i="4"/>
  <c r="K36" i="4"/>
  <c r="N515" i="2"/>
  <c r="O515" i="2" s="1"/>
  <c r="F515" i="2" s="1"/>
  <c r="Q363" i="2"/>
  <c r="F613" i="2" l="1"/>
  <c r="K41" i="4"/>
  <c r="G37" i="4"/>
  <c r="K592" i="2"/>
  <c r="L592" i="2" s="1"/>
  <c r="M592" i="2" s="1"/>
  <c r="L576" i="2"/>
  <c r="M576" i="2"/>
  <c r="G613" i="2"/>
  <c r="K597" i="2" s="1"/>
  <c r="K613" i="2"/>
  <c r="P515" i="2"/>
  <c r="G515" i="2"/>
  <c r="Q515" i="2"/>
  <c r="R515" i="2" l="1"/>
  <c r="I515" i="2"/>
  <c r="N576" i="2"/>
  <c r="O576" i="2" s="1"/>
  <c r="L597" i="2"/>
  <c r="M597" i="2"/>
  <c r="K429" i="2"/>
  <c r="P576" i="2" l="1"/>
  <c r="F576" i="2"/>
  <c r="K578" i="2" s="1"/>
  <c r="N597" i="2"/>
  <c r="K425" i="2"/>
  <c r="O597" i="2" l="1"/>
  <c r="F597" i="2" s="1"/>
  <c r="Q597" i="2" s="1"/>
  <c r="G576" i="2"/>
  <c r="Q576" i="2"/>
  <c r="L425" i="2"/>
  <c r="M425" i="2"/>
  <c r="P597" i="2" l="1"/>
  <c r="G597" i="2"/>
  <c r="G575" i="2" s="1"/>
  <c r="F55" i="4" s="1"/>
  <c r="K599" i="2"/>
  <c r="N425" i="2"/>
  <c r="O425" i="2" s="1"/>
  <c r="G55" i="4" l="1"/>
  <c r="F50" i="4"/>
  <c r="G425" i="2"/>
  <c r="Q425" i="2"/>
  <c r="P425" i="2"/>
  <c r="J425" i="2" l="1"/>
  <c r="F46" i="4" s="1"/>
  <c r="G46" i="4" s="1"/>
  <c r="G50" i="4"/>
  <c r="F476" i="2"/>
  <c r="G476" i="2" s="1"/>
  <c r="I476" i="2" s="1"/>
  <c r="G440" i="2"/>
  <c r="I440" i="2" s="1"/>
  <c r="G442" i="2" l="1"/>
  <c r="I442" i="2" s="1"/>
  <c r="J440" i="2" s="1"/>
  <c r="F443" i="2"/>
  <c r="G443" i="2" s="1"/>
  <c r="I443" i="2" s="1"/>
  <c r="G550" i="2"/>
  <c r="F44" i="4" l="1"/>
  <c r="K534" i="2"/>
  <c r="L534" i="2" s="1"/>
  <c r="I550" i="2"/>
  <c r="M534" i="2"/>
  <c r="N534" i="2" s="1"/>
  <c r="O534" i="2" s="1"/>
  <c r="G44" i="4" l="1"/>
  <c r="P534" i="2"/>
  <c r="F534" i="2"/>
  <c r="G534" i="2" l="1"/>
  <c r="Q534" i="2"/>
  <c r="I534" i="2" l="1"/>
  <c r="J346" i="2" s="1"/>
  <c r="G555" i="2"/>
  <c r="G556" i="2" s="1"/>
  <c r="F48" i="4" l="1"/>
  <c r="J361" i="2"/>
  <c r="J555" i="2"/>
  <c r="G622" i="2"/>
  <c r="L622" i="2"/>
  <c r="M622" i="2" s="1"/>
  <c r="M557" i="2"/>
  <c r="N557" i="2" s="1"/>
  <c r="O557" i="2" s="1"/>
  <c r="K9" i="2" s="1"/>
  <c r="G557" i="2"/>
  <c r="G558" i="2"/>
  <c r="G48" i="4" l="1"/>
  <c r="F43" i="4"/>
  <c r="M559" i="2"/>
  <c r="N559" i="2" s="1"/>
  <c r="O559" i="2" s="1"/>
  <c r="P622" i="2"/>
  <c r="Q622" i="2" s="1"/>
  <c r="G559" i="2"/>
  <c r="L625" i="2" s="1"/>
  <c r="M625" i="2" s="1"/>
  <c r="G623" i="2"/>
  <c r="G624" i="2"/>
  <c r="G43" i="4" l="1"/>
  <c r="F59" i="4"/>
  <c r="G625" i="2"/>
  <c r="P625" i="2" s="1"/>
  <c r="Q625" i="2" s="1"/>
  <c r="G59" i="4" l="1"/>
  <c r="F60" i="4"/>
  <c r="F61" i="4"/>
  <c r="F62" i="4" s="1"/>
  <c r="H57" i="4" l="1"/>
  <c r="H34" i="4"/>
  <c r="H51" i="4"/>
  <c r="H41" i="4"/>
  <c r="H39" i="4"/>
  <c r="H37" i="4"/>
  <c r="H53" i="4"/>
  <c r="H55" i="4"/>
  <c r="L50" i="4"/>
  <c r="H46" i="4"/>
  <c r="H44" i="4"/>
  <c r="H48" i="4"/>
  <c r="H59" i="4" l="1"/>
</calcChain>
</file>

<file path=xl/comments1.xml><?xml version="1.0" encoding="utf-8"?>
<comments xmlns="http://schemas.openxmlformats.org/spreadsheetml/2006/main">
  <authors>
    <author>Gabriel-Arnaud ONDO</author>
  </authors>
  <commentList>
    <comment ref="E274" authorId="0" shapeId="0">
      <text>
        <r>
          <rPr>
            <b/>
            <sz val="9"/>
            <color indexed="81"/>
            <rFont val="Tahoma"/>
            <family val="2"/>
          </rPr>
          <t>Gabriel-Arnaud ONDO:</t>
        </r>
        <r>
          <rPr>
            <sz val="9"/>
            <color indexed="81"/>
            <rFont val="Tahoma"/>
            <family val="2"/>
          </rPr>
          <t xml:space="preserve">
30% du temps</t>
        </r>
      </text>
    </comment>
  </commentList>
</comments>
</file>

<file path=xl/sharedStrings.xml><?xml version="1.0" encoding="utf-8"?>
<sst xmlns="http://schemas.openxmlformats.org/spreadsheetml/2006/main" count="2018" uniqueCount="807">
  <si>
    <t>DESIGNATION</t>
  </si>
  <si>
    <t>Sous total 100</t>
  </si>
  <si>
    <t>SECTION 100</t>
  </si>
  <si>
    <t>OUVRAGES DE DRAINAGE</t>
  </si>
  <si>
    <t>CANAL PRINCIPAL</t>
  </si>
  <si>
    <t>République Gabonaise</t>
  </si>
  <si>
    <t>Union - Travail - Justice</t>
  </si>
  <si>
    <t>coef. Vente</t>
  </si>
  <si>
    <t>FFx</t>
  </si>
  <si>
    <t>Terr.</t>
  </si>
  <si>
    <t>BAC+ Ass.</t>
  </si>
  <si>
    <t>DEVIS QUANTITATIF ESTIMATIF</t>
  </si>
  <si>
    <t>PROJET AKEMIDJOGONI</t>
  </si>
  <si>
    <t>N° Prix</t>
  </si>
  <si>
    <t>Désignation</t>
  </si>
  <si>
    <t>Unités</t>
  </si>
  <si>
    <t>Nb</t>
  </si>
  <si>
    <t>Quantités</t>
  </si>
  <si>
    <t>Prix unitaire</t>
  </si>
  <si>
    <t>Prix total</t>
  </si>
  <si>
    <t>brut</t>
  </si>
  <si>
    <t>Peines &amp; soins</t>
  </si>
  <si>
    <t>cdc</t>
  </si>
  <si>
    <t>DS/revient</t>
  </si>
  <si>
    <t>VENTE</t>
  </si>
  <si>
    <t>marge</t>
  </si>
  <si>
    <t>Chapitre 100 - Travaux Préparatoires</t>
  </si>
  <si>
    <t>Frais fixes</t>
  </si>
  <si>
    <t>FT</t>
  </si>
  <si>
    <t>101-1</t>
  </si>
  <si>
    <t>Installation de chantier - A/R personnel et matériel</t>
  </si>
  <si>
    <t>u</t>
  </si>
  <si>
    <t>Enveloppe QHSE</t>
  </si>
  <si>
    <t>Etudes</t>
  </si>
  <si>
    <t>102;1</t>
  </si>
  <si>
    <t>102;2</t>
  </si>
  <si>
    <t>Etudes topo</t>
  </si>
  <si>
    <t>102;3</t>
  </si>
  <si>
    <t>Etudes géotechniques</t>
  </si>
  <si>
    <t>102;4</t>
  </si>
  <si>
    <t>Elaboration Dossier constructeur/EXE + DFA</t>
  </si>
  <si>
    <t>fft</t>
  </si>
  <si>
    <t>Néttoyage et décapage du site</t>
  </si>
  <si>
    <t>m²</t>
  </si>
  <si>
    <t>Surface cible = 23,983m²</t>
  </si>
  <si>
    <t>volume = 23,893 * 0,2</t>
  </si>
  <si>
    <t>Pelle (40 camions/jr)</t>
  </si>
  <si>
    <t>bull</t>
  </si>
  <si>
    <t>niveleuse</t>
  </si>
  <si>
    <t>Gasoil engins</t>
  </si>
  <si>
    <t>lt</t>
  </si>
  <si>
    <t>camion benne + chauffeur + GO</t>
  </si>
  <si>
    <t>Conducteur engins</t>
  </si>
  <si>
    <t>HTM</t>
  </si>
  <si>
    <t xml:space="preserve">Compteur eau à déplacer </t>
  </si>
  <si>
    <t xml:space="preserve">Poste de Transformateur électrique à déplacer </t>
  </si>
  <si>
    <t>Unité</t>
  </si>
  <si>
    <t>Poteau électrique Basse Tensions (BT) à déplacer</t>
  </si>
  <si>
    <t>Poteau électrique Haute Tensions (HT) à déplacer</t>
  </si>
  <si>
    <t>Chapitre 200 - Terrassements</t>
  </si>
  <si>
    <t>Déblai en terrain de toute nature sur voiries</t>
  </si>
  <si>
    <t>M3</t>
  </si>
  <si>
    <t xml:space="preserve">volume </t>
  </si>
  <si>
    <t>Compacteur</t>
  </si>
  <si>
    <t>Déblai en terrain de toute nature sur plateformes</t>
  </si>
  <si>
    <t>m3</t>
  </si>
  <si>
    <t>volume cible (100*100*0,3)</t>
  </si>
  <si>
    <t>Remblai en terrain de toute nature sur plateformes (enveloppe 3000m3)</t>
  </si>
  <si>
    <t>***Base volume  3000m3</t>
  </si>
  <si>
    <t>Pelle (40 camions/jr)+ effort 10%</t>
  </si>
  <si>
    <t>Sable de remblai au voyage</t>
  </si>
  <si>
    <t>Remblai en terrain de toute nature sur voiries</t>
  </si>
  <si>
    <t>Prix unitaire déblai idem poste 201</t>
  </si>
  <si>
    <t>Réglage et compactage de la plateforme</t>
  </si>
  <si>
    <t>M²</t>
  </si>
  <si>
    <t>Surface cible = 23,983m² / 1500m²/jour</t>
  </si>
  <si>
    <t>Chapitre 300 - Chaussées - Trottoirs</t>
  </si>
  <si>
    <t>Fourniture et mise en œuvre de graveleux latéritiques ou stabilisé</t>
  </si>
  <si>
    <t>Rendement plelle = 30camions MEO/jr</t>
  </si>
  <si>
    <t xml:space="preserve">Pelle </t>
  </si>
  <si>
    <t>Blocs latéritique 12m3</t>
  </si>
  <si>
    <t>Bidime/geotextile</t>
  </si>
  <si>
    <t>rlx</t>
  </si>
  <si>
    <r>
      <t xml:space="preserve">Couche de fondation chaussée en </t>
    </r>
    <r>
      <rPr>
        <b/>
        <sz val="10"/>
        <color theme="1"/>
        <rFont val="Century Gothic"/>
        <family val="2"/>
      </rPr>
      <t>grave non traitée GNT 0/25 ep = 20cm</t>
    </r>
  </si>
  <si>
    <t>GNT0/25</t>
  </si>
  <si>
    <t>T</t>
  </si>
  <si>
    <t>***Base rendement 1500m²/jr ou 300m3</t>
  </si>
  <si>
    <t>Niveleuse</t>
  </si>
  <si>
    <t>Citerne arrosage + GO + chauffeur</t>
  </si>
  <si>
    <t>hr/jr</t>
  </si>
  <si>
    <t>ml=</t>
  </si>
  <si>
    <r>
      <t xml:space="preserve">Construction de </t>
    </r>
    <r>
      <rPr>
        <b/>
        <sz val="10"/>
        <color theme="1"/>
        <rFont val="Century Gothic"/>
        <family val="2"/>
      </rPr>
      <t>chaussée en béton type BAC</t>
    </r>
  </si>
  <si>
    <t>Béton prêt à l'emploi BEP B30</t>
  </si>
  <si>
    <t>Aciers tor</t>
  </si>
  <si>
    <t>kg</t>
  </si>
  <si>
    <t>Fil recuit</t>
  </si>
  <si>
    <t>Sikalatex de reprise (pot de 20kg pour 100m3)</t>
  </si>
  <si>
    <t>Citerne arrosage + GO + chauffeur (base 60m/j à J+14 en considération du dernier coulage)</t>
  </si>
  <si>
    <t>Tractopelle de servitudes</t>
  </si>
  <si>
    <t>Gasoil tractopelle</t>
  </si>
  <si>
    <t>MAIN D'ŒUVRE BAC</t>
  </si>
  <si>
    <t>Trottoir en béton de ciment de 10 cm d'ép.</t>
  </si>
  <si>
    <t>Surface générée</t>
  </si>
  <si>
    <t>Nb de morceaux de 1m</t>
  </si>
  <si>
    <t>Poids (0,222) * Nb de morceaux de 1m</t>
  </si>
  <si>
    <t>Béton prêt à l'emploi BEP B20</t>
  </si>
  <si>
    <t>Aciers tor de 6 maillage de 25*25</t>
  </si>
  <si>
    <t>Citerne arrosage + GO + chauffeur (base 50m/j à J+14 en considération du dernier coulage)</t>
  </si>
  <si>
    <t>MAIN D'ŒUVRE trottoir mise en œuvre au m²</t>
  </si>
  <si>
    <t>Chapitre 400 - Assainissement et Drainage</t>
  </si>
  <si>
    <t>ML</t>
  </si>
  <si>
    <t>ml</t>
  </si>
  <si>
    <t>TVA (18%)</t>
  </si>
  <si>
    <t>CSS 1%</t>
  </si>
  <si>
    <t>A</t>
  </si>
  <si>
    <t>Enveloppe des expropriations, droits de passages sur terrains, démolition&amp;reconstructions des barrières</t>
  </si>
  <si>
    <t>Passage terrain Marine vers BV</t>
  </si>
  <si>
    <t>Autres droits de passages</t>
  </si>
  <si>
    <t>Reconstruction clôture Marine</t>
  </si>
  <si>
    <t>Reconstruction clôture Patrimoines</t>
  </si>
  <si>
    <t>Plantations</t>
  </si>
  <si>
    <t>Passerelle 1 / côté pompiers</t>
  </si>
  <si>
    <t>Passerelle 2 / côté Marine Nationale(75% achèvement)</t>
  </si>
  <si>
    <t>Autres droits de passagesy/c 2 cabanons voie Leon MBA</t>
  </si>
  <si>
    <t>Boutique vers Léon MBA</t>
  </si>
  <si>
    <t>Kiosque vers Léon MBA</t>
  </si>
  <si>
    <t>B</t>
  </si>
  <si>
    <t xml:space="preserve">Amenagement divers plateaux sportifs / parking </t>
  </si>
  <si>
    <t>ft</t>
  </si>
  <si>
    <t>C</t>
  </si>
  <si>
    <t>Patrice REVANGUE ZAVROSA</t>
  </si>
  <si>
    <t xml:space="preserve">Administrateur Directeur General </t>
  </si>
  <si>
    <t>béton</t>
  </si>
  <si>
    <t>coffrage</t>
  </si>
  <si>
    <t xml:space="preserve">DEVIS QUANTITATIF </t>
  </si>
  <si>
    <t xml:space="preserve">TRAVAUX DE CONSTRUCTION D'OUVRAGES DE DRAINAGE DE LA ROUTE AKIMIDJONGONI </t>
  </si>
  <si>
    <t>N° PRIX</t>
  </si>
  <si>
    <t>QUANTITE</t>
  </si>
  <si>
    <t>UNITE</t>
  </si>
  <si>
    <r>
      <t>Travaux de réalisation d'un canal rectangulaiire de section b=1.5m h 1.5m L 130m (</t>
    </r>
    <r>
      <rPr>
        <b/>
        <sz val="9"/>
        <color theme="8"/>
        <rFont val="Arial"/>
        <family val="2"/>
      </rPr>
      <t>Vers marrine-Rond point</t>
    </r>
    <r>
      <rPr>
        <b/>
        <sz val="9"/>
        <rFont val="Arial"/>
        <family val="2"/>
      </rPr>
      <t>)</t>
    </r>
  </si>
  <si>
    <t>100.1.1</t>
  </si>
  <si>
    <t xml:space="preserve">Beton de proprété  C 150 </t>
  </si>
  <si>
    <r>
      <t>m</t>
    </r>
    <r>
      <rPr>
        <vertAlign val="superscript"/>
        <sz val="9"/>
        <rFont val="Arial"/>
        <family val="2"/>
      </rPr>
      <t>3</t>
    </r>
  </si>
  <si>
    <t>100.1.2</t>
  </si>
  <si>
    <t>Coffrages</t>
  </si>
  <si>
    <r>
      <t>m</t>
    </r>
    <r>
      <rPr>
        <vertAlign val="superscript"/>
        <sz val="9"/>
        <rFont val="Arial"/>
        <family val="2"/>
      </rPr>
      <t>2</t>
    </r>
  </si>
  <si>
    <t>100.1.3</t>
  </si>
  <si>
    <t>Aciers à haute adhérence</t>
  </si>
  <si>
    <t>100.1.4</t>
  </si>
  <si>
    <t>Béton de qualité Q 350 au ciment CPA 350</t>
  </si>
  <si>
    <t>100.1.5</t>
  </si>
  <si>
    <t>Réalisation des barbacanes</t>
  </si>
  <si>
    <t>unité</t>
  </si>
  <si>
    <t>100.1.7</t>
  </si>
  <si>
    <t>Fouille</t>
  </si>
  <si>
    <r>
      <t xml:space="preserve">Travaux de réalisation d'un canal rectangulaire de section b=3m h 1.5m L 40m </t>
    </r>
    <r>
      <rPr>
        <b/>
        <sz val="9"/>
        <color theme="8"/>
        <rFont val="Arial"/>
        <family val="2"/>
      </rPr>
      <t>(suite-Axe Montagne sainte)</t>
    </r>
  </si>
  <si>
    <r>
      <t xml:space="preserve">Travaux de réalisation d'un canal rectangulaire de section b=4m h 1.8m  L 360m </t>
    </r>
    <r>
      <rPr>
        <b/>
        <sz val="9"/>
        <color theme="8"/>
        <rFont val="Arial"/>
        <family val="2"/>
      </rPr>
      <t>(Montagne sainte-Patrimoine)</t>
    </r>
  </si>
  <si>
    <r>
      <t xml:space="preserve">Travaux de réalisation d'un canal rectangulaire de section b=4.5m h 1.8m  L 165m </t>
    </r>
    <r>
      <rPr>
        <b/>
        <sz val="9"/>
        <color theme="8"/>
        <rFont val="Arial"/>
        <family val="2"/>
      </rPr>
      <t>(Patrimoine - racollement canal existant exutoire)</t>
    </r>
  </si>
  <si>
    <r>
      <t>RACORDEMENT AU CANAL PRINCIPAL</t>
    </r>
    <r>
      <rPr>
        <b/>
        <sz val="9"/>
        <color theme="8"/>
        <rFont val="Arial"/>
        <family val="2"/>
      </rPr>
      <t>(descente Montagne Sainte Axe 2) voie carrefour Léon M'BA-Rond poin (Axe 1)</t>
    </r>
  </si>
  <si>
    <t xml:space="preserve">Travaux de réalisation d'un canal rectangulaire de section h 1.5m et b= 2m L 35m </t>
  </si>
  <si>
    <t>100.2.1</t>
  </si>
  <si>
    <t>100.2.2</t>
  </si>
  <si>
    <t>100.2.3</t>
  </si>
  <si>
    <t>100.2.4</t>
  </si>
  <si>
    <t>100.2.5</t>
  </si>
  <si>
    <t>100.2.7</t>
  </si>
  <si>
    <t xml:space="preserve">Travaux de réalisation d'un canal rectangulaire de section h 0.4m et b= 0.4m L 32m </t>
  </si>
  <si>
    <t xml:space="preserve">Travaux de réalisation d'un canal rectangulaire de section h 0.5m et b= 0.5m L 30m </t>
  </si>
  <si>
    <r>
      <t xml:space="preserve">AXE 1: </t>
    </r>
    <r>
      <rPr>
        <b/>
        <sz val="9"/>
        <color theme="8"/>
        <rFont val="Arial"/>
        <family val="2"/>
      </rPr>
      <t>CARREFOUR LEON M'BA-ROND POINT</t>
    </r>
  </si>
  <si>
    <t>Travaux de réalisation d'un canal rectangulaire de section h 0.5m et b= 0.5m L 900m</t>
  </si>
  <si>
    <t>100.3.1</t>
  </si>
  <si>
    <t>100.3.2</t>
  </si>
  <si>
    <t>100.3.3</t>
  </si>
  <si>
    <t>100.3.4</t>
  </si>
  <si>
    <t>100.3.5</t>
  </si>
  <si>
    <t>100.3.7</t>
  </si>
  <si>
    <t>Travaux de réalisation d'un dalot de section (1.2x1.2) L 10m</t>
  </si>
  <si>
    <t>Travaux de réalisation d'un canal rectangulaire de section h 0.9m et b= 0.9m L 260m</t>
  </si>
  <si>
    <t>Travaux de réalisation d'un dalot de section h 1.5m et b= 1.5m L 12m</t>
  </si>
  <si>
    <t>m2</t>
  </si>
  <si>
    <r>
      <t xml:space="preserve">AXE 2: </t>
    </r>
    <r>
      <rPr>
        <b/>
        <sz val="9"/>
        <color theme="8"/>
        <rFont val="Arial"/>
        <family val="2"/>
      </rPr>
      <t>DESCENTE MONTAGNE SAINTE</t>
    </r>
  </si>
  <si>
    <t>Travaux de réalisation d'un canal rectangulaire de section h 0.5m et b= 0.5m L 155m</t>
  </si>
  <si>
    <t>100.4.1</t>
  </si>
  <si>
    <t>100.4.2</t>
  </si>
  <si>
    <t>100.4.3</t>
  </si>
  <si>
    <t>100.4.4</t>
  </si>
  <si>
    <t>100.4.5</t>
  </si>
  <si>
    <t>100.4.7</t>
  </si>
  <si>
    <t>Travaux de réalisation d'un dalot de section 2(2x1.8) L 14m</t>
  </si>
  <si>
    <r>
      <t>AXE 4: (</t>
    </r>
    <r>
      <rPr>
        <b/>
        <sz val="9"/>
        <color theme="8"/>
        <rFont val="Arial"/>
        <family val="2"/>
      </rPr>
      <t>ROND POINT - PATRIMOINE-RACOLLEMENT EXUTOIRE)</t>
    </r>
  </si>
  <si>
    <t xml:space="preserve">Travaux de réalisation d'un canal rectangulaire de section h 0.9m et b= 0.9m L 782m </t>
  </si>
  <si>
    <t>100.5.1</t>
  </si>
  <si>
    <t>100.5.2</t>
  </si>
  <si>
    <t>100.5.3</t>
  </si>
  <si>
    <t>100.5.4</t>
  </si>
  <si>
    <t>100.5.5</t>
  </si>
  <si>
    <t>100.5.7</t>
  </si>
  <si>
    <t xml:space="preserve"> Travaux de réalisation d'un dalot de section 3(2x1.8) L 14m</t>
  </si>
  <si>
    <r>
      <t xml:space="preserve">AXE 6:  </t>
    </r>
    <r>
      <rPr>
        <b/>
        <sz val="9"/>
        <color theme="8"/>
        <rFont val="Arial"/>
        <family val="2"/>
      </rPr>
      <t>VOIE DE SERVICE URGENCE POMPIER</t>
    </r>
  </si>
  <si>
    <t>Travaux de réalisation d'un dalot de section h 1.5m et b= 2.5m L 255m</t>
  </si>
  <si>
    <t>100.6.1</t>
  </si>
  <si>
    <t>100.6.2</t>
  </si>
  <si>
    <t>100.6.3</t>
  </si>
  <si>
    <t>100.6.4</t>
  </si>
  <si>
    <t>100.6.5</t>
  </si>
  <si>
    <t>100.6.7</t>
  </si>
  <si>
    <r>
      <t xml:space="preserve">AXE 7:  </t>
    </r>
    <r>
      <rPr>
        <b/>
        <sz val="9"/>
        <color theme="8"/>
        <rFont val="Arial"/>
        <family val="2"/>
      </rPr>
      <t>DESCENTE KOMO</t>
    </r>
  </si>
  <si>
    <t>100.7.1</t>
  </si>
  <si>
    <t>100.7.2</t>
  </si>
  <si>
    <t>100.7.3</t>
  </si>
  <si>
    <t>100.7.4</t>
  </si>
  <si>
    <t>100.7.5</t>
  </si>
  <si>
    <t>100.7.7</t>
  </si>
  <si>
    <t>Travaux de réalisation d'un canal rectangulaiire de section b=1.5m h 1.5m L 130m (Vers marrine-Rond point)</t>
  </si>
  <si>
    <t>ETUDE DE PRIX Ouvrages Hydrauliques AKEMIDJOGONI</t>
  </si>
  <si>
    <t>VENTE/ml</t>
  </si>
  <si>
    <t>DELTA VISION</t>
  </si>
  <si>
    <t>MIKA</t>
  </si>
  <si>
    <t>Code</t>
  </si>
  <si>
    <t>nb</t>
  </si>
  <si>
    <t>Quantité</t>
  </si>
  <si>
    <t>Prix de vente</t>
  </si>
  <si>
    <t>PU MIKA</t>
  </si>
  <si>
    <t>PT MIKA</t>
  </si>
  <si>
    <t>Dalot OH 3 section 2*(2*1,8)  / 2 chambres</t>
  </si>
  <si>
    <t>terrassements</t>
  </si>
  <si>
    <t>fouilles</t>
  </si>
  <si>
    <t>Pelle 400m3/jr fouilles</t>
  </si>
  <si>
    <t>gasoil</t>
  </si>
  <si>
    <t>enrochement</t>
  </si>
  <si>
    <t>Pelle 400m3/jr enrochement</t>
  </si>
  <si>
    <t>Pelle</t>
  </si>
  <si>
    <t>MEO de gnt 0,25 13*5,6*0,10m</t>
  </si>
  <si>
    <t>Tonne</t>
  </si>
  <si>
    <t>béton de propreté 13*5,6*0,10m</t>
  </si>
  <si>
    <t>geotextile</t>
  </si>
  <si>
    <t>geotextile sur gnt</t>
  </si>
  <si>
    <t>geotextile sur pipe</t>
  </si>
  <si>
    <t>Flintkote</t>
  </si>
  <si>
    <t>nbre de pot/ conditionnement de 25kg</t>
  </si>
  <si>
    <t>radier</t>
  </si>
  <si>
    <t>béton 4,60*12*0,2</t>
  </si>
  <si>
    <t>Type</t>
  </si>
  <si>
    <t>Montant/tot</t>
  </si>
  <si>
    <t>rep/m3/béton</t>
  </si>
  <si>
    <t>qté coffrage</t>
  </si>
  <si>
    <t>aciers</t>
  </si>
  <si>
    <t xml:space="preserve">Coffrage voiles </t>
  </si>
  <si>
    <t>Coffrage radier</t>
  </si>
  <si>
    <t>cp 19mm (3,05m²)</t>
  </si>
  <si>
    <t>Coffrage tablier</t>
  </si>
  <si>
    <t>pointes</t>
  </si>
  <si>
    <t>chevrons</t>
  </si>
  <si>
    <t>voiles/3</t>
  </si>
  <si>
    <t>béton 1,8*3*0,3 * 12</t>
  </si>
  <si>
    <t>Tablier</t>
  </si>
  <si>
    <t>total béton B30</t>
  </si>
  <si>
    <t>B20</t>
  </si>
  <si>
    <t>MO Delta vision</t>
  </si>
  <si>
    <t>b20</t>
  </si>
  <si>
    <t>b30</t>
  </si>
  <si>
    <t>coffrages</t>
  </si>
  <si>
    <t>Motopompe+ carburant</t>
  </si>
  <si>
    <t>ratio au m3</t>
  </si>
  <si>
    <t>ratio au ml de 2*2*1,8( de cet ouvrage uniq.)</t>
  </si>
  <si>
    <t>Dalot OH 4 section 2*(2*1,8)  / 2 chambres</t>
  </si>
  <si>
    <t>Conclusion</t>
  </si>
  <si>
    <t>Dalot OH 5 section 1,5*1,5</t>
  </si>
  <si>
    <t>PU ouvrage au m3</t>
  </si>
  <si>
    <t>Dalot OH 6 section 2*(1,25*1,5)  / 2 chambres</t>
  </si>
  <si>
    <t>Dalot OH 7 section 1*1</t>
  </si>
  <si>
    <t>Par extrapolation</t>
  </si>
  <si>
    <t>volume</t>
  </si>
  <si>
    <t>PU</t>
  </si>
  <si>
    <t>PT</t>
  </si>
  <si>
    <t>optimisation</t>
  </si>
  <si>
    <t>Canal 2*4</t>
  </si>
  <si>
    <t>Toilettes</t>
  </si>
  <si>
    <t>Départ</t>
  </si>
  <si>
    <t>Attérrissage</t>
  </si>
  <si>
    <t>tps-9,5%</t>
  </si>
  <si>
    <t>TOTAL TTC</t>
  </si>
  <si>
    <t>équ.(-)dalot</t>
  </si>
  <si>
    <t>Team Projets</t>
  </si>
  <si>
    <t>Gain sur revue prix Delta Vision</t>
  </si>
  <si>
    <t>pvc 40 de 6m / Réalisation des barbacanes</t>
  </si>
  <si>
    <t>ok</t>
  </si>
  <si>
    <t>RACORDEMENT AU CANAL PRINCIPAL(descente Montagne Sainte Axe 2) voie carrefour Léon M'BA-Rond poin (Axe 1)</t>
  </si>
  <si>
    <t>OK</t>
  </si>
  <si>
    <t>ok 2,3</t>
  </si>
  <si>
    <t>ok 2,2</t>
  </si>
  <si>
    <t>AXE 1: CARREFOUR LEON M'BA-ROND POINT</t>
  </si>
  <si>
    <t>ok 3,1</t>
  </si>
  <si>
    <t>3,3 ok</t>
  </si>
  <si>
    <t>3,2 ok</t>
  </si>
  <si>
    <t>AXE 2: DESCENTE MONTAGNE SAINTE</t>
  </si>
  <si>
    <t>4,1 ok</t>
  </si>
  <si>
    <t>4,2 ok</t>
  </si>
  <si>
    <t>5,1 &amp; 2 =ok</t>
  </si>
  <si>
    <t>AXE 7:  DESCENTE KOMO</t>
  </si>
  <si>
    <t>MO DV</t>
  </si>
  <si>
    <t>remblai</t>
  </si>
  <si>
    <t>NIES</t>
  </si>
  <si>
    <t>ATTENTE MOUSSA !!!!!</t>
  </si>
  <si>
    <t>BUDGET =</t>
  </si>
  <si>
    <t>Excedent HT</t>
  </si>
  <si>
    <t>AVANT HT</t>
  </si>
  <si>
    <t>APRES HT</t>
  </si>
  <si>
    <t>avec ind. HT</t>
  </si>
  <si>
    <t>hors indemn. HT</t>
  </si>
  <si>
    <t>*1,35</t>
  </si>
  <si>
    <t>*0,7</t>
  </si>
  <si>
    <t>moy 1,5/1,2</t>
  </si>
  <si>
    <t>géotextile/bidime S51</t>
  </si>
  <si>
    <t>Déplacement des réseaux</t>
  </si>
  <si>
    <t>Installation de chantier  / Mobilisation et démobilisation d'équipe / Repli</t>
  </si>
  <si>
    <t>ens</t>
  </si>
  <si>
    <t>Panneaux de signalisation / Balisage</t>
  </si>
  <si>
    <t>LOT 1 : PL 700-302-N02 AU PL 560-203</t>
  </si>
  <si>
    <t>201-1</t>
  </si>
  <si>
    <t>Ouverture de tranchée pour la canalisation DN50EEHD de section 07x1,37x75</t>
  </si>
  <si>
    <t>Fft</t>
  </si>
  <si>
    <t>201-2</t>
  </si>
  <si>
    <t xml:space="preserve">Fourniture et mise en œuvre du sable de remblai </t>
  </si>
  <si>
    <t>201-3</t>
  </si>
  <si>
    <t xml:space="preserve">Déplacement des branchements eau DN50 PEHD </t>
  </si>
  <si>
    <t>201-4</t>
  </si>
  <si>
    <t>Déplacement des branchements eau DN25 PEHD</t>
  </si>
  <si>
    <t>201-5</t>
  </si>
  <si>
    <t>Supression branchement existant DN20/40 y compris fourniture accessoire</t>
  </si>
  <si>
    <t>LOT 2 : PL 124-201 AU PL 416-101-N04</t>
  </si>
  <si>
    <t>202-1</t>
  </si>
  <si>
    <t>Ouverture de tranchée pour la canalisation DN50EEHD de section 07x1,37x23</t>
  </si>
  <si>
    <t>202-2</t>
  </si>
  <si>
    <t>202-3</t>
  </si>
  <si>
    <t>202-4</t>
  </si>
  <si>
    <t>202-5</t>
  </si>
  <si>
    <t>Déplacement des branchements galva existant DN20/27 y compris fourniture accessoires</t>
  </si>
  <si>
    <t>202-6</t>
  </si>
  <si>
    <t>Déplacement des branchements galva existant DN40/49 y compris fourniture accessoires</t>
  </si>
  <si>
    <t xml:space="preserve">LOT 3 : PL 590-203-AO1 </t>
  </si>
  <si>
    <t>203-1</t>
  </si>
  <si>
    <t>U</t>
  </si>
  <si>
    <t>203-2</t>
  </si>
  <si>
    <t>Suppression de branchement PEHD existant DN50 y compris fourniture d'accessoires</t>
  </si>
  <si>
    <t xml:space="preserve">LOT 4 : PL 416-101-NO4 </t>
  </si>
  <si>
    <t>204-1</t>
  </si>
  <si>
    <t>204-2</t>
  </si>
  <si>
    <t>Carrefour Léon Mba - Rond Point Marine Nationale - Rond Point Sapeurs Pompiers</t>
  </si>
  <si>
    <t>301-1</t>
  </si>
  <si>
    <t>Fourniture support métallique 10-930</t>
  </si>
  <si>
    <t>301-2</t>
  </si>
  <si>
    <t>Fourniture support métallique 10.440</t>
  </si>
  <si>
    <t>301-3</t>
  </si>
  <si>
    <t>Fourniture câble torsadé 3 x 70 + 54,6 + 2 x 16mm²</t>
  </si>
  <si>
    <t>301-4</t>
  </si>
  <si>
    <t>Fourniture câble torsadé 2 x 25</t>
  </si>
  <si>
    <t>301-5</t>
  </si>
  <si>
    <t>Fourniture KZ 95/95 + JZ 16/95</t>
  </si>
  <si>
    <t>301-6</t>
  </si>
  <si>
    <t>Fourniture ES</t>
  </si>
  <si>
    <t>301-7</t>
  </si>
  <si>
    <t>Fourniture EADS</t>
  </si>
  <si>
    <t>301-8</t>
  </si>
  <si>
    <t>Fourniture cu isolé 1 x 25</t>
  </si>
  <si>
    <t>301-9</t>
  </si>
  <si>
    <t>Fourniture câble cu nu 1 x25</t>
  </si>
  <si>
    <t>301-10</t>
  </si>
  <si>
    <t>Fourniture protection mécanique 30/30</t>
  </si>
  <si>
    <t>301-11</t>
  </si>
  <si>
    <t>Fourniture piquet de terre</t>
  </si>
  <si>
    <t>301-12</t>
  </si>
  <si>
    <t>Fourniture support béton 13-1000</t>
  </si>
  <si>
    <t>301-13</t>
  </si>
  <si>
    <t>Fourniture manchon abroche + C.B.O HT</t>
  </si>
  <si>
    <t>301-14</t>
  </si>
  <si>
    <t>Fourniture herse simple et herse double</t>
  </si>
  <si>
    <t>301-15</t>
  </si>
  <si>
    <t>Fourniture AN3 isolateur</t>
  </si>
  <si>
    <t>301-16</t>
  </si>
  <si>
    <t>Fourniture boite de jonction HT</t>
  </si>
  <si>
    <t>301-17</t>
  </si>
  <si>
    <t>Fourniture jeux de parafoudre et support étaller</t>
  </si>
  <si>
    <t>301-18</t>
  </si>
  <si>
    <t>Fourniture extrémité extérieure</t>
  </si>
  <si>
    <t>301-19</t>
  </si>
  <si>
    <t>Fourniture câble J4</t>
  </si>
  <si>
    <t>301-20</t>
  </si>
  <si>
    <t>Dépose des poteaux HT</t>
  </si>
  <si>
    <t>301-21</t>
  </si>
  <si>
    <t>Dépose poteaux B</t>
  </si>
  <si>
    <t>301-22</t>
  </si>
  <si>
    <t>Dépose câble BT</t>
  </si>
  <si>
    <t>301-23</t>
  </si>
  <si>
    <t>Dépose des branchements et reprise</t>
  </si>
  <si>
    <t>301-24</t>
  </si>
  <si>
    <t>Réalisation RAS HTA et dépose RAS existante</t>
  </si>
  <si>
    <t>301-25</t>
  </si>
  <si>
    <t>Dépose et pose DPH3</t>
  </si>
  <si>
    <t>301-26</t>
  </si>
  <si>
    <t>Dépose et pose branchement triphasé</t>
  </si>
  <si>
    <t>301-27</t>
  </si>
  <si>
    <t>Fouille et implantation des supports</t>
  </si>
  <si>
    <t>301-28</t>
  </si>
  <si>
    <t>Confectionnement malte</t>
  </si>
  <si>
    <t>301-29</t>
  </si>
  <si>
    <t>Transport et manutention</t>
  </si>
  <si>
    <t>301-30</t>
  </si>
  <si>
    <t>Consignation et mise en service</t>
  </si>
  <si>
    <t>STATION KOMO RONDPOINT MARINE NATIONALE</t>
  </si>
  <si>
    <t>302-1</t>
  </si>
  <si>
    <t>Fourniture support métallique 10.440 et 10-930 de Récupération</t>
  </si>
  <si>
    <t>Ens</t>
  </si>
  <si>
    <t>302-2</t>
  </si>
  <si>
    <t>302-3</t>
  </si>
  <si>
    <t>302-4</t>
  </si>
  <si>
    <t>Fourniture accessoire de récupération</t>
  </si>
  <si>
    <t>302-5</t>
  </si>
  <si>
    <t>Fourniture support béton 13-1250</t>
  </si>
  <si>
    <t>302-6</t>
  </si>
  <si>
    <t>Fourniture support béton 13-650</t>
  </si>
  <si>
    <t>302-7</t>
  </si>
  <si>
    <t>Fourniture support béton 13-400</t>
  </si>
  <si>
    <t>302-8</t>
  </si>
  <si>
    <t>Fourniture NVR Complet avec accessoires (VHT Tige renforcé)</t>
  </si>
  <si>
    <t>302-9</t>
  </si>
  <si>
    <t>Fourniture Accessoires HT</t>
  </si>
  <si>
    <t>302-10</t>
  </si>
  <si>
    <t>302-11</t>
  </si>
  <si>
    <t>302-12</t>
  </si>
  <si>
    <t>302-13</t>
  </si>
  <si>
    <t>302-14</t>
  </si>
  <si>
    <t>Fourniture Manchons d’ancrage + C.B.O HT</t>
  </si>
  <si>
    <t>302-15</t>
  </si>
  <si>
    <t>Fourniture câble ALUMELEC 54.6</t>
  </si>
  <si>
    <t>302-16</t>
  </si>
  <si>
    <t>Fourniture manchon BT de 25</t>
  </si>
  <si>
    <t>302-17</t>
  </si>
  <si>
    <t>fourniture connecteur de branchement JZ 16/95</t>
  </si>
  <si>
    <t>302-18</t>
  </si>
  <si>
    <t>fourniture connecteur Réseau BT KZ 95/95</t>
  </si>
  <si>
    <t>302-19</t>
  </si>
  <si>
    <t>Fourniture collier COLSON 319/10 et 319/16</t>
  </si>
  <si>
    <t>302-20</t>
  </si>
  <si>
    <t>Fourniture protection mécanique 30/30 et 90/90</t>
  </si>
  <si>
    <t>302-21</t>
  </si>
  <si>
    <t>Fouille et implantation de Support métallique et PBA</t>
  </si>
  <si>
    <t>302-22</t>
  </si>
  <si>
    <t>Dépose et pose d’armement HT</t>
  </si>
  <si>
    <t>302-23</t>
  </si>
  <si>
    <t>Déroulage pose réglage et tirage du câble BT 3X70 + 54.6 ET 2X16 sur 550m</t>
  </si>
  <si>
    <t>302-24</t>
  </si>
  <si>
    <t>Dépose et basculement du câble HT 1X17 avec réglages</t>
  </si>
  <si>
    <t>302-25</t>
  </si>
  <si>
    <t>302-26</t>
  </si>
  <si>
    <t>Réalisation des malts HT-BT</t>
  </si>
  <si>
    <t>302-27</t>
  </si>
  <si>
    <t>Dépose et reprise des branchements monophasés</t>
  </si>
  <si>
    <t>302-28</t>
  </si>
  <si>
    <t>Dépose et reprise des branchements triphasés</t>
  </si>
  <si>
    <t>302-29</t>
  </si>
  <si>
    <t>Dépose et reprise des D.P.H.3</t>
  </si>
  <si>
    <t>302-30</t>
  </si>
  <si>
    <t>Dépose et reprise des lampes</t>
  </si>
  <si>
    <t>302-31</t>
  </si>
  <si>
    <t>Numérotation des supports implantés</t>
  </si>
  <si>
    <t>302-32</t>
  </si>
  <si>
    <t>Consignation et mise en service du réseau HT-BT</t>
  </si>
  <si>
    <t>302-33</t>
  </si>
  <si>
    <t>Transport et manutention au site</t>
  </si>
  <si>
    <t>302-34</t>
  </si>
  <si>
    <t>Dépose des supports existants</t>
  </si>
  <si>
    <t>RONDPOINT MARINE NATIONALE - SORTIE CLINIQUE BIOCLEAN</t>
  </si>
  <si>
    <t>303-1</t>
  </si>
  <si>
    <t>Fourniture support métallique 2 10-360 et 2 10-930</t>
  </si>
  <si>
    <t>303-2</t>
  </si>
  <si>
    <t>Fourniture câble torsadé 3 x 70 + 54,6 + 2 x 16mm² de Récupération</t>
  </si>
  <si>
    <t>303-3</t>
  </si>
  <si>
    <t>Fourniture câble BT HGE 3X95 + 50</t>
  </si>
  <si>
    <t>303-4</t>
  </si>
  <si>
    <t>Fourniture Tête thermo</t>
  </si>
  <si>
    <t>303-5</t>
  </si>
  <si>
    <t>303-6</t>
  </si>
  <si>
    <t>Fourniture connecteur JZ 16/95 et KZ 95/95</t>
  </si>
  <si>
    <t>303-7</t>
  </si>
  <si>
    <t>Fourniture câble Cu isolé 1 x 25 et câble Cu nu 1 x25</t>
  </si>
  <si>
    <t>303-8</t>
  </si>
  <si>
    <t>Fourniture accessoire BT de suspension ES, EADS et EAD</t>
  </si>
  <si>
    <t>303-9</t>
  </si>
  <si>
    <t>Fourniture protection mécanique 60/60 + 30/30</t>
  </si>
  <si>
    <t>303-10</t>
  </si>
  <si>
    <t>Fourniture piquet de terre avec collier</t>
  </si>
  <si>
    <t>303-11</t>
  </si>
  <si>
    <t>Fouille et implantation de Support métallique</t>
  </si>
  <si>
    <t>303-12</t>
  </si>
  <si>
    <t>Dépose et pose Câble BT 3X70 + 54.6 + 2X16</t>
  </si>
  <si>
    <t>303-13</t>
  </si>
  <si>
    <t>Dépose et reprise RAS BT</t>
  </si>
  <si>
    <t>303-14</t>
  </si>
  <si>
    <t>Réalisation des malts BT</t>
  </si>
  <si>
    <t>303-15</t>
  </si>
  <si>
    <t>303-16</t>
  </si>
  <si>
    <t>303-17</t>
  </si>
  <si>
    <t>Consignation et mise en service du réseau BT</t>
  </si>
  <si>
    <t>303-18</t>
  </si>
  <si>
    <t>303-19</t>
  </si>
  <si>
    <t>Identification des supports implantés</t>
  </si>
  <si>
    <t>RONDPOINT MARINE NATIONALE - SORTIE SAPEURS POMPIERS</t>
  </si>
  <si>
    <t>304-1</t>
  </si>
  <si>
    <t xml:space="preserve">Fourniture support métallique 2 10-360 et 2 10-930 Récupération </t>
  </si>
  <si>
    <t>304-2</t>
  </si>
  <si>
    <t xml:space="preserve">Fourniture câble torsadé 3 x 70 + 54,6 + 2 x 16mm² de Récupération </t>
  </si>
  <si>
    <t>304-3</t>
  </si>
  <si>
    <t xml:space="preserve">Fourniture manchon 70/70 MJPT </t>
  </si>
  <si>
    <t>304-4</t>
  </si>
  <si>
    <t xml:space="preserve">Fourniture manchon 25/25 MJPT </t>
  </si>
  <si>
    <t>304-5</t>
  </si>
  <si>
    <t xml:space="preserve">Fourniture câble Cu isolé 1 x 25 et câble Cu nu 1 x25 </t>
  </si>
  <si>
    <t>304-6</t>
  </si>
  <si>
    <t xml:space="preserve">Fourniture piquet de terre avec collier </t>
  </si>
  <si>
    <t>304-7</t>
  </si>
  <si>
    <t xml:space="preserve">Fourniture protection mécanique 30/30 </t>
  </si>
  <si>
    <t>304-8</t>
  </si>
  <si>
    <t xml:space="preserve">Fourniture accessoire BT de suspension ES, EADS et EAD </t>
  </si>
  <si>
    <t>304-9</t>
  </si>
  <si>
    <t xml:space="preserve">Fouille et implantation de Support métallique </t>
  </si>
  <si>
    <t>304-10</t>
  </si>
  <si>
    <t xml:space="preserve">Dépose et pose Câble BT 3X70 + 54.6 + 2X16 </t>
  </si>
  <si>
    <t>304-11</t>
  </si>
  <si>
    <t xml:space="preserve">Dépose et reprise D.P.H.3 </t>
  </si>
  <si>
    <t>304-12</t>
  </si>
  <si>
    <t xml:space="preserve">Réalisation des malts BT </t>
  </si>
  <si>
    <t>304-13</t>
  </si>
  <si>
    <t xml:space="preserve">Transport et manutention au site </t>
  </si>
  <si>
    <t>304-14</t>
  </si>
  <si>
    <t xml:space="preserve">Consignation et mise en service du réseau BT </t>
  </si>
  <si>
    <t>304-15</t>
  </si>
  <si>
    <t xml:space="preserve">Dépose des supports existants </t>
  </si>
  <si>
    <t>304-16</t>
  </si>
  <si>
    <t xml:space="preserve">Identification des supports implantés </t>
  </si>
  <si>
    <t>304-17</t>
  </si>
  <si>
    <t xml:space="preserve">Dépose et reprise des branchements monophasés </t>
  </si>
  <si>
    <t>304-18</t>
  </si>
  <si>
    <t>Dépose et reprise des branchements Triphasés</t>
  </si>
  <si>
    <t>Travaux préparatoires</t>
  </si>
  <si>
    <t>EAU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</si>
  <si>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</si>
  <si>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</si>
  <si>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</si>
  <si>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</si>
  <si>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</si>
  <si>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</si>
  <si>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</si>
  <si>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</si>
  <si>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</si>
  <si>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</si>
  <si>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</si>
  <si>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Beton de proprété  C 150 / 125*1,5*0,1</t>
  </si>
  <si>
    <t>semelle 125*1,2*0,2</t>
  </si>
  <si>
    <t>Enduit maçonné 2 faces</t>
  </si>
  <si>
    <t>Coffrage banche</t>
  </si>
  <si>
    <t>Aciers à haute adhérence / 80kg/m3</t>
  </si>
  <si>
    <t>Télécom?</t>
  </si>
  <si>
    <t>Bretelles MS + KOMO</t>
  </si>
  <si>
    <t>???</t>
  </si>
  <si>
    <t>201-0</t>
  </si>
  <si>
    <t>mob + signalétique</t>
  </si>
  <si>
    <t>installation + signalisation + repli</t>
  </si>
  <si>
    <t>confection &amp; pose</t>
  </si>
  <si>
    <t>,,,</t>
  </si>
  <si>
    <t>moussa=erreur</t>
  </si>
  <si>
    <t>304-0</t>
  </si>
  <si>
    <t>6 dalots</t>
  </si>
  <si>
    <t>Travaux de réalisation d'un canal rectangulaire de section (suite-Axe Montagne sainte) OH5 - OH4</t>
  </si>
  <si>
    <t>Travaux de réalisation d'un canal rectangulaire de section b=1,5m et h 1.5m et L 10m (suite-Axe Montagne sainte) OH5 - OH4</t>
  </si>
  <si>
    <t>Travaux de réalisation d'un canal rectangulaire de section b=3m h=2m et L 55m (suite-Axe Montagne sainte) OH5 - OH4</t>
  </si>
  <si>
    <t>Travaux de réalisation d'un canal rectangulaire de section b=4m h=2m (Montagne sainte-Patrimoine)</t>
  </si>
  <si>
    <t>L TOTAL</t>
  </si>
  <si>
    <t>Travaux de réalisation d'un canal rectangulaire de section b=4m h=2m et L56m (Montagne sainte-Patrimoine) OH4 - OH3</t>
  </si>
  <si>
    <t>Travaux de réalisation d'un canal rectangulaire de section b=4.5m et h 2m  &amp; L 210m (Patrimoine - racollement canal existant exutoire)</t>
  </si>
  <si>
    <t>Travaux de réalisation d'un canal rectangulaire de section h 0.9m et b= 0.9m L 260m / OH6</t>
  </si>
  <si>
    <t>REF/DALOT</t>
  </si>
  <si>
    <t>Travaux de réalisation d'un dalot de section 2(2x2) L 12m</t>
  </si>
  <si>
    <t>Travaux de réalisation d'un dalot de section 2(2x2) L 12m/OH3</t>
  </si>
  <si>
    <t>Pointes</t>
  </si>
  <si>
    <t>Fintkote</t>
  </si>
  <si>
    <t>Frais annexes</t>
  </si>
  <si>
    <t xml:space="preserve"> Travaux de réalisation d'un dalot de section 3(2x2) L 16m</t>
  </si>
  <si>
    <t>RECONSTRUCTION DE LA CLÔTURE SEMI-BANCHEE SINOHYDRO</t>
  </si>
  <si>
    <t>Mur banché H = 1,8 hors tout</t>
  </si>
  <si>
    <t>Mur maçonné H=1,8m</t>
  </si>
  <si>
    <t>Mur maçonné</t>
  </si>
  <si>
    <t>Poteaux béton</t>
  </si>
  <si>
    <t>A-12</t>
  </si>
  <si>
    <t>TRAVAUX MARINE NATIONALE</t>
  </si>
  <si>
    <t>Reconstruction de la clôture le long de la MARINE NATIONALE + retour</t>
  </si>
  <si>
    <t>Reconstruction de fosse septique avec nouvelle capacité de 50 usagers</t>
  </si>
  <si>
    <t>BUDGET DES INDEMNISATIONS HORS CHIFFRAGE MIKA SERVICES  ET AMENAGEMENTS SPECIFIQUES</t>
  </si>
  <si>
    <t>xxx</t>
  </si>
  <si>
    <t>Déduction à prix coûtant axe 7</t>
  </si>
  <si>
    <t>yyy</t>
  </si>
  <si>
    <t>déduction à prix coûtant axe 2</t>
  </si>
  <si>
    <t>REPERCUSSION DE PRIX AU ML à 65% pour eau</t>
  </si>
  <si>
    <t>Excédent</t>
  </si>
  <si>
    <t>Surface du rond-point</t>
  </si>
  <si>
    <t>Surface bande de roulement du  rond-point</t>
  </si>
  <si>
    <r>
      <t>m</t>
    </r>
    <r>
      <rPr>
        <i/>
        <vertAlign val="superscript"/>
        <sz val="10"/>
        <rFont val="Century Gothic"/>
        <family val="2"/>
      </rPr>
      <t>3</t>
    </r>
  </si>
  <si>
    <t>Fourniture et mise en œuvre de géotextile (2) pour désolidarition enrochement - Forme et désolidarisation formeGL0/25 - FondationGNT0/25</t>
  </si>
  <si>
    <t>TERRASSEMENT GENERAUX</t>
  </si>
  <si>
    <t>21ml</t>
  </si>
  <si>
    <t>AXE 5: (ROND POINT - PATRIMOINE-RACOLLEMENT EXUTOIRE)</t>
  </si>
  <si>
    <t>Circonférence rond-point</t>
  </si>
  <si>
    <t>Circonférence intérieure du rond-point</t>
  </si>
  <si>
    <t>2pi</t>
  </si>
  <si>
    <t>Linéaire total des voies  circulables chiffrées (largeur =7m)</t>
  </si>
  <si>
    <t>Axe 1 rond-point vers carréfour Léon Mba</t>
  </si>
  <si>
    <t>Axe 2 rond-point - vers Komo</t>
  </si>
  <si>
    <t>Axe 3 rond-point - vers Marine Nationale</t>
  </si>
  <si>
    <r>
      <t xml:space="preserve">Axe 4 au droit du canal </t>
    </r>
    <r>
      <rPr>
        <b/>
        <i/>
        <sz val="10"/>
        <rFont val="Century Gothic"/>
        <family val="2"/>
      </rPr>
      <t xml:space="preserve">ex-voie </t>
    </r>
    <r>
      <rPr>
        <i/>
        <sz val="10"/>
        <rFont val="Century Gothic"/>
        <family val="2"/>
      </rPr>
      <t>d'urgence pompiers</t>
    </r>
  </si>
  <si>
    <t>Axe 5 rond-point - vers Patrimoine d'Etat</t>
  </si>
  <si>
    <t>Axe 7 rond-point - vers Montagne Sainte</t>
  </si>
  <si>
    <t>CleanAfrica</t>
  </si>
  <si>
    <t>Débours déblais</t>
  </si>
  <si>
    <t>Géotextile</t>
  </si>
  <si>
    <t>Transport</t>
  </si>
  <si>
    <t>Pose</t>
  </si>
  <si>
    <t>CDC</t>
  </si>
  <si>
    <t>m/prof</t>
  </si>
  <si>
    <t>Densité</t>
  </si>
  <si>
    <t>d</t>
  </si>
  <si>
    <r>
      <t xml:space="preserve">Fourniture &amp; mise en œuvre de remblai techniques en sable pour blocs techniques au droit des ouvrages hydrauliques majeurs (canaux + dalots) ; H moyenne=140cm de part et d'autre </t>
    </r>
    <r>
      <rPr>
        <b/>
        <i/>
        <sz val="10"/>
        <rFont val="Century Gothic"/>
        <family val="2"/>
      </rPr>
      <t>/ et</t>
    </r>
    <r>
      <rPr>
        <i/>
        <sz val="10"/>
        <rFont val="Century Gothic"/>
        <family val="2"/>
      </rPr>
      <t xml:space="preserve"> remblais contigus au droit des sections inférieures / </t>
    </r>
    <r>
      <rPr>
        <b/>
        <i/>
        <sz val="10"/>
        <rFont val="Century Gothic"/>
        <family val="2"/>
      </rPr>
      <t>&lt;&lt;item204&gt;&gt;</t>
    </r>
  </si>
  <si>
    <r>
      <t xml:space="preserve">Néttoyage et décapage du site (20m) / </t>
    </r>
    <r>
      <rPr>
        <b/>
        <sz val="10"/>
        <rFont val="Century Gothic"/>
        <family val="2"/>
      </rPr>
      <t>&lt;&lt;item 103&gt;&gt;</t>
    </r>
  </si>
  <si>
    <r>
      <t xml:space="preserve">Remblai en terrain de toute nature sous voiries (incluant Substitution de sol de mauvaise tenue par enrochement profondeur moyenne de 1,20) / </t>
    </r>
    <r>
      <rPr>
        <b/>
        <i/>
        <sz val="10"/>
        <rFont val="Century Gothic"/>
        <family val="2"/>
      </rPr>
      <t>&lt;&lt;item204&gt;&gt;</t>
    </r>
  </si>
  <si>
    <r>
      <t xml:space="preserve">Fourniture &amp; mise en œuvre de remblai d'épaulement le long des axes routiers/ </t>
    </r>
    <r>
      <rPr>
        <b/>
        <i/>
        <sz val="10"/>
        <rFont val="Century Gothic"/>
        <family val="2"/>
      </rPr>
      <t>&lt;&lt;item 204&gt;&gt;</t>
    </r>
  </si>
  <si>
    <r>
      <t xml:space="preserve">Réglage et compactage de la plateforme/ </t>
    </r>
    <r>
      <rPr>
        <b/>
        <i/>
        <sz val="10"/>
        <rFont val="Century Gothic"/>
        <family val="2"/>
      </rPr>
      <t>&lt;&lt;item 205&gt;&gt;</t>
    </r>
  </si>
  <si>
    <r>
      <t xml:space="preserve">Fourniture et mise en œuvre couche de PST-Forme en latérite ép 0,25m / emprise 10m / </t>
    </r>
    <r>
      <rPr>
        <b/>
        <i/>
        <sz val="10"/>
        <rFont val="Century Gothic"/>
        <family val="2"/>
      </rPr>
      <t>&lt;&lt;item 301&gt;&gt;</t>
    </r>
  </si>
  <si>
    <r>
      <t xml:space="preserve">Fourniture et mise en œuvre couche de Fondation en GNT 0/25 / sous chaussée/ 0,20m/ </t>
    </r>
    <r>
      <rPr>
        <b/>
        <i/>
        <sz val="10"/>
        <rFont val="Century Gothic"/>
        <family val="2"/>
      </rPr>
      <t>&lt;&lt;item 302&gt;&gt;</t>
    </r>
  </si>
  <si>
    <r>
      <t xml:space="preserve">Fourniture et mise en œuvre de couche de Base-Roulement en Béton Armé Continu (BAC) ép 0,15m/ </t>
    </r>
    <r>
      <rPr>
        <b/>
        <i/>
        <sz val="10"/>
        <rFont val="Century Gothic"/>
        <family val="2"/>
      </rPr>
      <t>&lt;&lt;item 303&gt;&gt;</t>
    </r>
  </si>
  <si>
    <r>
      <t xml:space="preserve">Réalisation de trottoirs/ </t>
    </r>
    <r>
      <rPr>
        <b/>
        <i/>
        <sz val="10"/>
        <rFont val="Century Gothic"/>
        <family val="2"/>
      </rPr>
      <t>&lt;&lt;item 304&gt;&gt;</t>
    </r>
  </si>
  <si>
    <t>Travaux de dévoiements divers &amp; mise en conformité du réseau</t>
  </si>
  <si>
    <t>ELECTRICITE &amp; Télecoms</t>
  </si>
  <si>
    <t>Travaux de dévoiements divers électriques BT/HT &amp; postes ; dévoiements et mise en conformité des supports de communication MAGT etc</t>
  </si>
  <si>
    <t>Process documentaire</t>
  </si>
  <si>
    <t>102;5</t>
  </si>
  <si>
    <t>Hydraulique - Hydraologie - Assainissement</t>
  </si>
  <si>
    <t>102;6</t>
  </si>
  <si>
    <t>Installation spécifique, affichages, gestion de process consignation/déconsignation</t>
  </si>
  <si>
    <t>3011;1</t>
  </si>
  <si>
    <t>3011;2</t>
  </si>
  <si>
    <t>3011;3</t>
  </si>
  <si>
    <t>3011;4</t>
  </si>
  <si>
    <t>3011;5</t>
  </si>
  <si>
    <t>3011;6</t>
  </si>
  <si>
    <t>3011;7</t>
  </si>
  <si>
    <t>Chapitre 3000 CONSTRUCTION DE ROUTE</t>
  </si>
  <si>
    <r>
      <t xml:space="preserve">Déblais sur voiries (emprise= 10m)/ </t>
    </r>
    <r>
      <rPr>
        <b/>
        <i/>
        <sz val="10"/>
        <rFont val="Century Gothic"/>
        <family val="2"/>
      </rPr>
      <t>&lt;&lt;item 201&gt;&gt;</t>
    </r>
  </si>
  <si>
    <t>Purges de sol de mauvaise tenue sous voiries, mise en dépôt tomporaire, chargement, transport et mise en dépôt définitif pour traitement dédié</t>
  </si>
  <si>
    <t>Autres aménagements</t>
  </si>
  <si>
    <t>Excédent  - HT</t>
  </si>
  <si>
    <t>Pour mémoire</t>
  </si>
  <si>
    <t>Enveloppe curage de fossés existants (toutes sujétions) y compris évacuation des débris vers décharge (y/c plus-value de transport pour décharge sup à 5km)</t>
  </si>
  <si>
    <t>Fourniture et pose de bordures de type T2</t>
  </si>
  <si>
    <t>Fourniture et pose de Caniveaux 40x40</t>
  </si>
  <si>
    <t>Fourniture et pose de Caniveaux 50x50</t>
  </si>
  <si>
    <t>Fourniture et pose de Caniveaux 60x60</t>
  </si>
  <si>
    <t>Fourniture et pose de Caniveaux 80x80</t>
  </si>
  <si>
    <t xml:space="preserve">Fourniture et pose de Caniveaux 100x100 </t>
  </si>
  <si>
    <t>Fourniture et pose de Caniveaux 120x100</t>
  </si>
  <si>
    <t>Fourniture et pose de Mur de Soutènement</t>
  </si>
  <si>
    <t>Fourniture et pose de dallettes pour caniveaux 40x40</t>
  </si>
  <si>
    <t>Fourniture et pose de dallettes pour caniveaux 50x50</t>
  </si>
  <si>
    <t>Fourniture et pose de dallettes pour caniveaux 60x60</t>
  </si>
  <si>
    <t>Fourniture et pose de dallettes pour caniveaux 80x80</t>
  </si>
  <si>
    <t>Fourniture et pose de dallettes pour caniveaux 100x100</t>
  </si>
  <si>
    <t>Fourniture et pose de dallettes pour Caniveaux 120x100</t>
  </si>
  <si>
    <t>Fourniture et pose de dallettes pour caniveaux 150x100</t>
  </si>
  <si>
    <t>Fossé Bétonné L= 300 et 150 ; H=130</t>
  </si>
  <si>
    <t>Fourniture et pose de double TBA 130 x 130 (TBA) /ou assimilé) Canal Principal</t>
  </si>
  <si>
    <t xml:space="preserve">Fourniture et pose de TBA 50 x 100 (TBA)    </t>
  </si>
  <si>
    <t>%</t>
  </si>
  <si>
    <t xml:space="preserve">Fourniture et pose de TBA 60 x 100 (TBA)    </t>
  </si>
  <si>
    <t xml:space="preserve">Fourniture et pose de TBA 80 x 100 (TBA)    </t>
  </si>
  <si>
    <t xml:space="preserve">Fourniture et pose de TBA 100 x 100 (TBA)    </t>
  </si>
  <si>
    <t>Fourniture et Pose de pérré maconné (provision /enveloppe)</t>
  </si>
  <si>
    <t>Fourniture et Pose de dalot 150x100 grille de visite tous les 10 ml</t>
  </si>
  <si>
    <t>Travaux de réalisation d'un canal rectangulaire de section h 1.5m et b= 2m L 35m</t>
  </si>
  <si>
    <r>
      <t xml:space="preserve">Travaux de réalisation d'un canal rectangulaire de section h 0.4m et b= 0.4m L 32m  </t>
    </r>
    <r>
      <rPr>
        <b/>
        <sz val="10"/>
        <color theme="1"/>
        <rFont val="Century Gothic"/>
        <family val="2"/>
      </rPr>
      <t>/ &lt;&lt;item 403&gt;&gt;</t>
    </r>
  </si>
  <si>
    <r>
      <t xml:space="preserve">Travaux de réalisation d'un canal rectangulaire de section h 0.5m et b= 0.5m L 30m / </t>
    </r>
    <r>
      <rPr>
        <b/>
        <sz val="10"/>
        <color theme="1"/>
        <rFont val="Century Gothic"/>
        <family val="2"/>
      </rPr>
      <t>&lt;&lt;item 404&gt;&gt;</t>
    </r>
  </si>
  <si>
    <t>Voile/banche 125*2,2*0,2</t>
  </si>
  <si>
    <t>Mur banché H = 2,2m hors tout</t>
  </si>
  <si>
    <t>Voile/banche 125*1,6*0,2</t>
  </si>
  <si>
    <t>Devis n° GAO/PRZ/70/30/09/25          du          30/09/2025</t>
  </si>
  <si>
    <t>OWENDO le, 30/09/2025</t>
  </si>
  <si>
    <t>Mur maçonné H=1,6m</t>
  </si>
  <si>
    <r>
      <t xml:space="preserve">Travaux de réalisation d'un canal rectangulaire de section h 0.5m et b= 0.5m L 900m / </t>
    </r>
    <r>
      <rPr>
        <b/>
        <sz val="10"/>
        <color theme="1"/>
        <rFont val="Century Gothic"/>
        <family val="2"/>
      </rPr>
      <t>&lt;&lt;item 404&gt;&gt;</t>
    </r>
  </si>
  <si>
    <r>
      <t xml:space="preserve">Travaux de réalisation d'un canal rectangulaire de section h 0.5m et b= 0.5m L 155m </t>
    </r>
    <r>
      <rPr>
        <b/>
        <sz val="10"/>
        <color theme="1"/>
        <rFont val="Century Gothic"/>
        <family val="2"/>
      </rPr>
      <t>&lt;&lt;item 404&gt;&gt;</t>
    </r>
  </si>
  <si>
    <r>
      <t xml:space="preserve">Fourniture et pose de bordures de type T2 </t>
    </r>
    <r>
      <rPr>
        <b/>
        <i/>
        <sz val="10"/>
        <rFont val="Century Gothic"/>
        <family val="2"/>
      </rPr>
      <t>&lt;&lt;item 401&gt;&gt;</t>
    </r>
  </si>
  <si>
    <t>Hors indemnisations</t>
  </si>
  <si>
    <t>Avec indemnisations et divers</t>
  </si>
  <si>
    <t>Comparatif des valeurs d'arrivées et départs</t>
  </si>
  <si>
    <r>
      <t xml:space="preserve">Axe 6 (axe 4 bis) - de base pompiers - vers intersection </t>
    </r>
    <r>
      <rPr>
        <b/>
        <i/>
        <sz val="10"/>
        <rFont val="Century Gothic"/>
        <family val="2"/>
      </rPr>
      <t xml:space="preserve">ex voie </t>
    </r>
    <r>
      <rPr>
        <i/>
        <sz val="10"/>
        <rFont val="Century Gothic"/>
        <family val="2"/>
      </rPr>
      <t>d'urgence</t>
    </r>
  </si>
  <si>
    <t>TOTAL HT (2) incluant indemnisations et autres aménagements du DQE</t>
  </si>
  <si>
    <t>TOTAL TTC (2) incluant indemnisations et autres aménagements du DQE</t>
  </si>
  <si>
    <t>TOTAL HT-1 Projet (hors indemnisations)</t>
  </si>
  <si>
    <t>TOTAL TTC (1) ne prenant pas en compte les indemnisations/reconstructions</t>
  </si>
  <si>
    <t>TRAVAUX D'AMENAGEMENT DES VOIRIES DE DESSERTE DU QUARTIER AKEMIDJOGONI</t>
  </si>
  <si>
    <t>Rayon</t>
  </si>
  <si>
    <t>Surface</t>
  </si>
  <si>
    <t>R=(périm/(2*Rayon)</t>
  </si>
  <si>
    <t>N°</t>
  </si>
  <si>
    <t>Prix Unitaire</t>
  </si>
  <si>
    <t>Montant</t>
  </si>
  <si>
    <t>00 - INSTALLATION &amp; ETUDES</t>
  </si>
  <si>
    <t>Installation de chantier, amenée et repli du matériel</t>
  </si>
  <si>
    <t>HESS (Hygiène, Environnement, Santé, Sécurité)</t>
  </si>
  <si>
    <t>Km</t>
  </si>
  <si>
    <t>km moyen/voirie</t>
  </si>
  <si>
    <t>TOTAL HTVA</t>
  </si>
  <si>
    <t>Moyenne 1,2Mds/km</t>
  </si>
  <si>
    <t>CCS (1%)</t>
  </si>
  <si>
    <t>TOTAL GENERAL TTC</t>
  </si>
  <si>
    <t>Administrateur Directeur Général - Mika Services</t>
  </si>
  <si>
    <t>Patrice Revangue Zavrosa</t>
  </si>
  <si>
    <t>DORSALE / Emprise 10ml / voie 7m + 2*1,5ml trottoirs</t>
  </si>
  <si>
    <t>RESEAU DE ROUTES PENETRANTES / Emprise 8ml/ voie 6ml + 2*1ml trottoirs</t>
  </si>
  <si>
    <t xml:space="preserve">Sous total aménagement </t>
  </si>
  <si>
    <t>Sous Total RESEAU DE ROUTES PENETRANTES / Emprise 8ml/ voie 6ml + 2*1ml trottoirs</t>
  </si>
  <si>
    <t>Frais divers réseaux et dédommagement</t>
  </si>
  <si>
    <t>Enveloppe déplacement des réseaux enterrés (eau) routes pénétrantes</t>
  </si>
  <si>
    <t>Enveloppe déplacement des supports aériens Routes pénétrantes</t>
  </si>
  <si>
    <t>Enveloppe de compensations bâtisses à reculer sur DORSALE</t>
  </si>
  <si>
    <t>Enveloppe de compensations bâtisses rtéseau routes pénétrantes</t>
  </si>
  <si>
    <t>Enveloppe de désenclament des zones sous-intégrées routes pénétrantes</t>
  </si>
  <si>
    <t>RECAPITULATIF TRAVAUX D'AMENAGEMENT DES VOIRIES DE DESSERTE DU QUARTIER AKEMIDJOGONI</t>
  </si>
  <si>
    <t>101-2</t>
  </si>
  <si>
    <t>102</t>
  </si>
  <si>
    <t>108</t>
  </si>
  <si>
    <t>Déplacement des réseaux (élec + eau + télécoms)</t>
  </si>
  <si>
    <t>3000 - RECAP DES TRAVAUX DE CONSTRUCTION DES ROUTES (1,28126km ou 1281,26ml)</t>
  </si>
  <si>
    <t>Récap des items maintenus, avec anciens prix, mais quantités supérieures</t>
  </si>
  <si>
    <t>Récap des items maintenus avec anciens prix et quantités inférieures</t>
  </si>
  <si>
    <t>ancien + qté sup</t>
  </si>
  <si>
    <t>ancien + qté inf</t>
  </si>
  <si>
    <t>nouveau prix</t>
  </si>
  <si>
    <t>Récap des nouveaux prix</t>
  </si>
  <si>
    <t>00- RECAP DES INSTALLATIONS - TRAVAUX PREPARATOIRES - ETUDES &amp; DEPLACEMENT DES RESEAUX</t>
  </si>
  <si>
    <t>BV</t>
  </si>
  <si>
    <t>DRAINAGE</t>
  </si>
  <si>
    <t>Can</t>
  </si>
  <si>
    <t>Dalots</t>
  </si>
  <si>
    <t>Chapitre 500 - BASSINS VERSANTS ET ASSAINISSEMENTS DIVERS</t>
  </si>
  <si>
    <t>501.1</t>
  </si>
  <si>
    <t>501.2</t>
  </si>
  <si>
    <t>501.2.1</t>
  </si>
  <si>
    <t>501.2.2</t>
  </si>
  <si>
    <t>501.3</t>
  </si>
  <si>
    <t>501.3.1</t>
  </si>
  <si>
    <t>501.3.2</t>
  </si>
  <si>
    <t>502.1</t>
  </si>
  <si>
    <t>502.2</t>
  </si>
  <si>
    <t>502.3</t>
  </si>
  <si>
    <t>503.1</t>
  </si>
  <si>
    <t>503.2</t>
  </si>
  <si>
    <t>503.3</t>
  </si>
  <si>
    <t>503.4</t>
  </si>
  <si>
    <t>503.5</t>
  </si>
  <si>
    <t>504.1</t>
  </si>
  <si>
    <t>504.2</t>
  </si>
  <si>
    <t>505.1</t>
  </si>
  <si>
    <t>505.2</t>
  </si>
  <si>
    <t>505.3</t>
  </si>
  <si>
    <t>506.1</t>
  </si>
  <si>
    <t>507.1</t>
  </si>
  <si>
    <t>501.4</t>
  </si>
  <si>
    <t>AXE 6:  EX - VOIE DE SERVICE URGENCE POMPIER</t>
  </si>
  <si>
    <t>Travaux de réalisation d'un CANAL de section h 1.5m et b= 2.5m L 238,65m</t>
  </si>
  <si>
    <t xml:space="preserve"> Travaux de réalisation d'un dalot de section (1x1) L 16m</t>
  </si>
  <si>
    <t>Travaux de réalisation d'un dalot de section h 1.5m et b= 1.5m et de longueur L 14,40m</t>
  </si>
  <si>
    <r>
      <t xml:space="preserve">Travaux de réalisation d'un canal rectangulaiire de section b=0.5m h 0.5m L 178m </t>
    </r>
    <r>
      <rPr>
        <b/>
        <sz val="10"/>
        <color theme="1"/>
        <rFont val="Century Gothic"/>
        <family val="2"/>
      </rPr>
      <t>avec grilles</t>
    </r>
    <r>
      <rPr>
        <sz val="10"/>
        <color theme="1"/>
        <rFont val="Century Gothic"/>
        <family val="2"/>
      </rPr>
      <t xml:space="preserve"> (autour du Rond point)</t>
    </r>
  </si>
  <si>
    <t>Travaux de réalisation d'un canal rectangulaire de section b=4m h=2m et L360m (Montagne sainte-Patrimoine) OH3 vers Patrimoine</t>
  </si>
  <si>
    <t>500 - Recap des BASSINS VERSANTS &amp; ASSAINISSEMENTS DIVERS</t>
  </si>
  <si>
    <t>D</t>
  </si>
  <si>
    <t>RECAP BUDGET DES INDEMNISATIONS HORS CHIFFRAGE MIKA SERVICES  ET AMENAGEMENTS SPECIFIQUES</t>
  </si>
  <si>
    <t>C - Autres aménagements</t>
  </si>
  <si>
    <t xml:space="preserve">B - Amenagement divers plateaux sportifs / parking </t>
  </si>
  <si>
    <t>A - Enveloppe des expropriations, droits de passages sur terrains, démolition&amp;reconstructions des barrières</t>
  </si>
  <si>
    <t>Code couleur</t>
  </si>
  <si>
    <t>Nouveaux prix</t>
  </si>
  <si>
    <t>Ancien item avec prix pour mémoire , mais quantités à la hausse</t>
  </si>
  <si>
    <t>Ancien item avec prix pour mémoire ; mais quantités inférieures</t>
  </si>
  <si>
    <t>BASSINS VERSANTS</t>
  </si>
  <si>
    <t>CANIVEAUX</t>
  </si>
  <si>
    <t>DALOTS</t>
  </si>
  <si>
    <t>VOIES A CONSTRUIRE (6 axes)</t>
  </si>
  <si>
    <t>Longueur Totale des axes = 1,28126 km (1281,26ml)</t>
  </si>
  <si>
    <t>RdPoint-LéonMBA=445,46ml / RP-KOMO=115,84ml / Marine-RP=112,60ml / RP-Patrimoine=448,30ml / Amorce BSP=52,00ml / RP-MontagneSte=107,36ml</t>
  </si>
  <si>
    <t>Aménagements et/ou dévoiements de réseaux non prévus</t>
  </si>
  <si>
    <t>D - Aménagements et/ou dévoiements de réseaux non prévus</t>
  </si>
  <si>
    <t>ASSAINISSEMENT</t>
  </si>
  <si>
    <t>Linéaire chaussée en béton armé continu BAC = 1281,26ml _//_ Linéaire cumulé d'ouvrages d'assainissements (Bassins versants/canal/exutoires/ouvrages hydrauliques/dalots) = 3512,05ml</t>
  </si>
  <si>
    <r>
      <rPr>
        <b/>
        <u/>
        <sz val="12"/>
        <color theme="1"/>
        <rFont val="Century Gothic"/>
        <family val="2"/>
      </rPr>
      <t>Structure de chaussée :</t>
    </r>
    <r>
      <rPr>
        <sz val="12"/>
        <color theme="1"/>
        <rFont val="Century Gothic"/>
        <family val="2"/>
      </rPr>
      <t xml:space="preserve">  Enrochement de blocs létéritiques 400/600/800 + Graveleux Latétéritique GL0/25=0,25m en consolidation pour couche de forme + Fondation en grave non traitée GNT 0/25 = 0,20m + Béton Armé Continu (BAC) épaisseur 0,15m en base-roulement + 2*1,5ml de trottoir + bassin versant&amp;allée contigue + parking+  terrain de sport</t>
    </r>
  </si>
  <si>
    <r>
      <t xml:space="preserve">Arrêté le présent DQE à la somme TTc de ; </t>
    </r>
    <r>
      <rPr>
        <b/>
        <sz val="14"/>
        <rFont val="Century Gothic"/>
        <family val="2"/>
      </rPr>
      <t>Quatre milliards, six-cent-vingt-sept millions, sept-cent-quinze mille, trois-cent-vingt francs CFA</t>
    </r>
  </si>
  <si>
    <r>
      <t xml:space="preserve">Longueur = </t>
    </r>
    <r>
      <rPr>
        <b/>
        <sz val="12"/>
        <rFont val="Century Gothic"/>
        <family val="2"/>
      </rPr>
      <t>2136,65 ml</t>
    </r>
  </si>
  <si>
    <r>
      <t xml:space="preserve">Longueur = </t>
    </r>
    <r>
      <rPr>
        <b/>
        <sz val="12"/>
        <rFont val="Century Gothic"/>
        <family val="2"/>
      </rPr>
      <t>1295 ml</t>
    </r>
  </si>
  <si>
    <r>
      <t xml:space="preserve">Longueur = </t>
    </r>
    <r>
      <rPr>
        <b/>
        <sz val="12"/>
        <rFont val="Century Gothic"/>
        <family val="2"/>
      </rPr>
      <t>80,4 ml</t>
    </r>
  </si>
  <si>
    <t>Owendo le 30 septembre 2025</t>
  </si>
  <si>
    <r>
      <rPr>
        <sz val="11"/>
        <rFont val="Century Gothic"/>
        <family val="2"/>
      </rPr>
      <t>Arrêté le présent devis à la somme de</t>
    </r>
    <r>
      <rPr>
        <b/>
        <sz val="11"/>
        <rFont val="Century Gothic"/>
        <family val="2"/>
      </rPr>
      <t xml:space="preserve"> </t>
    </r>
    <r>
      <rPr>
        <b/>
        <sz val="12"/>
        <rFont val="Century Gothic"/>
        <family val="2"/>
      </rPr>
      <t xml:space="preserve">TTC </t>
    </r>
    <r>
      <rPr>
        <b/>
        <sz val="11"/>
        <rFont val="Century Gothic"/>
        <family val="2"/>
      </rPr>
      <t xml:space="preserve">(2) ; </t>
    </r>
    <r>
      <rPr>
        <b/>
        <sz val="13"/>
        <rFont val="Century Gothic"/>
        <family val="2"/>
      </rPr>
      <t>Quatre milliards, six-cent-vingt-sept millions, sept-cent-quinze mille, trois-cent-vingt francs CFA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</si>
</sst>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-* #,##0.00_-;\-* #,##0.00_-;_-* &quot;-&quot;??_-;_-@_-"/>
    <numFmt numFmtId="164" formatCode="#,##0\ _€"/>
    <numFmt numFmtId="165" formatCode="_-* #,##0.000_-;\-* #,##0.000_-;_-* &quot;-&quot;??_-;_-@_-"/>
    <numFmt numFmtId="166" formatCode="_-* #,##0\ _€_-;\-* #,##0\ _€_-;_-* &quot;-&quot;??\ _€_-;_-@_-"/>
    <numFmt numFmtId="167" formatCode="0.0"/>
    <numFmt numFmtId="168" formatCode="#,##0.00\ _€"/>
    <numFmt numFmtId="169" formatCode="0.000"/>
    <numFmt numFmtId="170" formatCode="#,##0.000\ _€"/>
    <numFmt numFmtId="171" formatCode="#,##0.0\ _€"/>
    <numFmt numFmtId="172" formatCode="0.0%"/>
    <numFmt numFmtId="173" formatCode="#,##0.000000\ _€"/>
    <numFmt numFmtId="174" formatCode="0.000%"/>
  </numFmts>
  <fonts count="96">
    <font>
      <sz val="11"/>
      <color theme="1"/>
      <name val="Calibri"/>
      <charset val="134"/>
      <scheme val="minor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1"/>
      <name val="Century Gothic"/>
      <family val="2"/>
    </font>
    <font>
      <sz val="9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theme="1"/>
      <name val="Century Gothic"/>
      <family val="2"/>
    </font>
    <font>
      <b/>
      <u/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u/>
      <sz val="12"/>
      <name val="Century Gothic"/>
      <family val="2"/>
    </font>
    <font>
      <b/>
      <sz val="10"/>
      <color theme="0"/>
      <name val="Century Gothic"/>
      <family val="2"/>
    </font>
    <font>
      <sz val="10"/>
      <color theme="0"/>
      <name val="Century Gothic"/>
      <family val="2"/>
    </font>
    <font>
      <sz val="10"/>
      <name val="Century Gothic"/>
      <family val="2"/>
    </font>
    <font>
      <i/>
      <sz val="9"/>
      <name val="Century Gothic"/>
      <family val="2"/>
    </font>
    <font>
      <i/>
      <sz val="9"/>
      <color theme="1"/>
      <name val="Century Gothic"/>
      <family val="2"/>
    </font>
    <font>
      <i/>
      <sz val="9"/>
      <color rgb="FFFF0000"/>
      <name val="Century Gothic"/>
      <family val="2"/>
    </font>
    <font>
      <i/>
      <sz val="8"/>
      <name val="Century Gothic"/>
      <family val="2"/>
    </font>
    <font>
      <i/>
      <sz val="8"/>
      <color theme="1"/>
      <name val="Century Gothic"/>
      <family val="2"/>
    </font>
    <font>
      <sz val="10"/>
      <color rgb="FFFF0000"/>
      <name val="Century Gothic"/>
      <family val="2"/>
    </font>
    <font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name val="Century Gothic"/>
      <family val="2"/>
    </font>
    <font>
      <sz val="8"/>
      <color theme="1"/>
      <name val="Century Gothic"/>
      <family val="2"/>
    </font>
    <font>
      <i/>
      <sz val="9"/>
      <color theme="0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b/>
      <sz val="9"/>
      <color rgb="FFFF0000"/>
      <name val="Century Gothic"/>
      <family val="2"/>
    </font>
    <font>
      <b/>
      <sz val="10"/>
      <color rgb="FFFF00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theme="8"/>
      <name val="Arial"/>
      <family val="2"/>
    </font>
    <font>
      <vertAlign val="superscript"/>
      <sz val="9"/>
      <name val="Arial"/>
      <family val="2"/>
    </font>
    <font>
      <b/>
      <sz val="14"/>
      <color theme="1"/>
      <name val="Century Gothic"/>
      <family val="2"/>
    </font>
    <font>
      <b/>
      <i/>
      <sz val="10"/>
      <color theme="1"/>
      <name val="Century Gothic"/>
      <family val="2"/>
    </font>
    <font>
      <b/>
      <i/>
      <sz val="10"/>
      <color rgb="FFFF0000"/>
      <name val="Century Gothic"/>
      <family val="2"/>
    </font>
    <font>
      <i/>
      <sz val="10"/>
      <color rgb="FFFF0000"/>
      <name val="Century Gothic"/>
      <family val="2"/>
    </font>
    <font>
      <i/>
      <sz val="10"/>
      <color theme="3" tint="0.39997558519241921"/>
      <name val="Century Gothic"/>
      <family val="2"/>
    </font>
    <font>
      <i/>
      <sz val="8"/>
      <color theme="3" tint="0.39997558519241921"/>
      <name val="Century Gothic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u/>
      <sz val="10"/>
      <name val="Century Gothic"/>
      <family val="2"/>
    </font>
    <font>
      <b/>
      <sz val="12"/>
      <name val="Century Gothic"/>
      <family val="2"/>
    </font>
    <font>
      <i/>
      <vertAlign val="superscript"/>
      <sz val="10"/>
      <name val="Century Gothic"/>
      <family val="2"/>
    </font>
    <font>
      <b/>
      <i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u/>
      <sz val="14"/>
      <name val="Century Gothic"/>
      <family val="2"/>
    </font>
    <font>
      <b/>
      <u/>
      <sz val="10"/>
      <name val="Century Gothic"/>
      <family val="2"/>
    </font>
    <font>
      <b/>
      <sz val="8"/>
      <color theme="1"/>
      <name val="Century Gothic"/>
      <family val="2"/>
    </font>
    <font>
      <b/>
      <u/>
      <sz val="8"/>
      <name val="Century Gothic"/>
      <family val="2"/>
    </font>
    <font>
      <sz val="12"/>
      <name val="Century Gothic"/>
      <family val="2"/>
    </font>
    <font>
      <b/>
      <sz val="14"/>
      <name val="Century Gothic"/>
      <family val="2"/>
    </font>
    <font>
      <sz val="14"/>
      <name val="Century Gothic"/>
      <family val="2"/>
    </font>
    <font>
      <sz val="12"/>
      <color indexed="8"/>
      <name val="Century Gothic"/>
      <family val="2"/>
    </font>
    <font>
      <sz val="11"/>
      <color rgb="FFFF0000"/>
      <name val="Century Gothic"/>
      <family val="2"/>
    </font>
    <font>
      <i/>
      <sz val="12"/>
      <color rgb="FFFF0000"/>
      <name val="Century Gothic"/>
      <family val="2"/>
    </font>
    <font>
      <i/>
      <sz val="12"/>
      <name val="Century Gothic"/>
      <family val="2"/>
    </font>
    <font>
      <b/>
      <i/>
      <sz val="10"/>
      <color indexed="12"/>
      <name val="Century Gothic"/>
      <family val="2"/>
    </font>
    <font>
      <b/>
      <sz val="10"/>
      <color indexed="10"/>
      <name val="Century Gothic"/>
      <family val="2"/>
    </font>
    <font>
      <b/>
      <sz val="7"/>
      <name val="Century Gothic"/>
      <family val="2"/>
    </font>
    <font>
      <b/>
      <sz val="11"/>
      <color theme="1"/>
      <name val="Calibri"/>
      <family val="2"/>
      <scheme val="minor"/>
    </font>
    <font>
      <i/>
      <u/>
      <sz val="10"/>
      <name val="Century Gothic"/>
      <family val="2"/>
    </font>
    <font>
      <sz val="12"/>
      <color rgb="FFFF0000"/>
      <name val="Century Gothic"/>
      <family val="2"/>
    </font>
    <font>
      <b/>
      <sz val="13"/>
      <name val="Century Gothic"/>
      <family val="2"/>
    </font>
    <font>
      <b/>
      <u/>
      <sz val="13"/>
      <name val="Century Gothic"/>
      <family val="2"/>
    </font>
    <font>
      <sz val="13"/>
      <name val="Century Gothic"/>
      <family val="2"/>
    </font>
    <font>
      <b/>
      <sz val="13"/>
      <color theme="1"/>
      <name val="Century Gothic"/>
      <family val="2"/>
    </font>
    <font>
      <b/>
      <u/>
      <sz val="16"/>
      <name val="Century Gothic"/>
      <family val="2"/>
    </font>
    <font>
      <b/>
      <sz val="16"/>
      <color theme="1"/>
      <name val="Century Gothic"/>
      <family val="2"/>
    </font>
    <font>
      <b/>
      <sz val="6"/>
      <color theme="1"/>
      <name val="Century Gothic"/>
      <family val="2"/>
    </font>
    <font>
      <sz val="6"/>
      <color theme="1"/>
      <name val="Century Gothic"/>
      <family val="2"/>
    </font>
    <font>
      <b/>
      <u/>
      <sz val="6"/>
      <name val="Century Gothic"/>
      <family val="2"/>
    </font>
    <font>
      <sz val="6"/>
      <name val="Century Gothic"/>
      <family val="2"/>
    </font>
    <font>
      <i/>
      <sz val="6"/>
      <name val="Century Gothic"/>
      <family val="2"/>
    </font>
    <font>
      <i/>
      <sz val="6"/>
      <color theme="1"/>
      <name val="Century Gothic"/>
      <family val="2"/>
    </font>
    <font>
      <b/>
      <i/>
      <sz val="6"/>
      <color theme="1"/>
      <name val="Century Gothic"/>
      <family val="2"/>
    </font>
    <font>
      <b/>
      <u/>
      <sz val="7"/>
      <name val="Century Gothic"/>
      <family val="2"/>
    </font>
    <font>
      <b/>
      <u/>
      <sz val="14"/>
      <color theme="1"/>
      <name val="Century Gothic"/>
      <family val="2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/>
    <xf numFmtId="0" fontId="41" fillId="0" borderId="0"/>
  </cellStyleXfs>
  <cellXfs count="874">
    <xf numFmtId="0" fontId="0" fillId="0" borderId="0" xfId="0"/>
    <xf numFmtId="0" fontId="10" fillId="0" borderId="0" xfId="3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vertical="center"/>
    </xf>
    <xf numFmtId="0" fontId="18" fillId="4" borderId="14" xfId="0" applyFont="1" applyFill="1" applyBorder="1" applyAlignment="1">
      <alignment horizontal="left" vertical="center"/>
    </xf>
    <xf numFmtId="0" fontId="19" fillId="4" borderId="15" xfId="0" applyFont="1" applyFill="1" applyBorder="1" applyAlignment="1">
      <alignment vertical="center"/>
    </xf>
    <xf numFmtId="0" fontId="19" fillId="4" borderId="12" xfId="0" applyFont="1" applyFill="1" applyBorder="1" applyAlignment="1">
      <alignment vertical="center"/>
    </xf>
    <xf numFmtId="0" fontId="19" fillId="4" borderId="16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vertical="center" wrapText="1"/>
    </xf>
    <xf numFmtId="0" fontId="20" fillId="0" borderId="18" xfId="0" applyFont="1" applyBorder="1" applyAlignment="1">
      <alignment horizontal="center" vertical="center" wrapText="1"/>
    </xf>
    <xf numFmtId="2" fontId="11" fillId="0" borderId="18" xfId="0" applyNumberFormat="1" applyFont="1" applyBorder="1" applyAlignment="1">
      <alignment vertical="center" wrapText="1"/>
    </xf>
    <xf numFmtId="164" fontId="7" fillId="0" borderId="18" xfId="0" applyNumberFormat="1" applyFont="1" applyBorder="1" applyAlignment="1">
      <alignment vertical="center" wrapText="1"/>
    </xf>
    <xf numFmtId="164" fontId="7" fillId="0" borderId="19" xfId="0" applyNumberFormat="1" applyFont="1" applyBorder="1" applyAlignment="1">
      <alignment vertical="center"/>
    </xf>
    <xf numFmtId="0" fontId="21" fillId="0" borderId="17" xfId="0" applyFont="1" applyBorder="1" applyAlignment="1">
      <alignment horizontal="center" vertical="center" wrapText="1"/>
    </xf>
    <xf numFmtId="164" fontId="7" fillId="0" borderId="18" xfId="1" applyNumberFormat="1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 indent="4"/>
    </xf>
    <xf numFmtId="2" fontId="22" fillId="0" borderId="18" xfId="0" applyNumberFormat="1" applyFont="1" applyBorder="1" applyAlignment="1">
      <alignment horizontal="left" vertical="center" wrapText="1" indent="1"/>
    </xf>
    <xf numFmtId="2" fontId="22" fillId="0" borderId="18" xfId="0" applyNumberFormat="1" applyFont="1" applyBorder="1" applyAlignment="1">
      <alignment vertical="center" wrapText="1"/>
    </xf>
    <xf numFmtId="164" fontId="22" fillId="0" borderId="18" xfId="0" applyNumberFormat="1" applyFont="1" applyBorder="1" applyAlignment="1">
      <alignment vertical="center" wrapText="1"/>
    </xf>
    <xf numFmtId="164" fontId="22" fillId="0" borderId="19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2" fontId="23" fillId="0" borderId="18" xfId="0" applyNumberFormat="1" applyFont="1" applyBorder="1" applyAlignment="1">
      <alignment horizontal="left" vertical="center" wrapText="1" indent="1"/>
    </xf>
    <xf numFmtId="0" fontId="24" fillId="0" borderId="17" xfId="0" applyFont="1" applyBorder="1" applyAlignment="1">
      <alignment horizontal="left" vertical="center" wrapText="1" indent="1"/>
    </xf>
    <xf numFmtId="164" fontId="25" fillId="0" borderId="19" xfId="0" applyNumberFormat="1" applyFont="1" applyBorder="1" applyAlignment="1">
      <alignment vertical="center"/>
    </xf>
    <xf numFmtId="0" fontId="25" fillId="0" borderId="0" xfId="0" applyFont="1" applyAlignment="1">
      <alignment horizontal="left" vertical="center" indent="1"/>
    </xf>
    <xf numFmtId="0" fontId="26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4" fillId="0" borderId="18" xfId="0" applyFont="1" applyBorder="1" applyAlignment="1">
      <alignment horizontal="left" vertical="center" wrapText="1" indent="4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 indent="7"/>
    </xf>
    <xf numFmtId="0" fontId="21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2" fontId="7" fillId="0" borderId="18" xfId="0" applyNumberFormat="1" applyFont="1" applyBorder="1" applyAlignment="1">
      <alignment vertical="center"/>
    </xf>
    <xf numFmtId="164" fontId="7" fillId="0" borderId="18" xfId="0" applyNumberFormat="1" applyFont="1" applyBorder="1" applyAlignment="1">
      <alignment vertical="center"/>
    </xf>
    <xf numFmtId="164" fontId="28" fillId="0" borderId="19" xfId="0" applyNumberFormat="1" applyFont="1" applyBorder="1" applyAlignment="1">
      <alignment vertical="center"/>
    </xf>
    <xf numFmtId="0" fontId="18" fillId="4" borderId="17" xfId="0" applyFont="1" applyFill="1" applyBorder="1" applyAlignment="1">
      <alignment horizontal="left" vertical="center"/>
    </xf>
    <xf numFmtId="0" fontId="19" fillId="4" borderId="18" xfId="0" applyFont="1" applyFill="1" applyBorder="1" applyAlignment="1">
      <alignment vertical="center"/>
    </xf>
    <xf numFmtId="2" fontId="29" fillId="4" borderId="18" xfId="0" applyNumberFormat="1" applyFont="1" applyFill="1" applyBorder="1" applyAlignment="1">
      <alignment vertical="center" wrapText="1"/>
    </xf>
    <xf numFmtId="2" fontId="19" fillId="4" borderId="18" xfId="0" applyNumberFormat="1" applyFont="1" applyFill="1" applyBorder="1" applyAlignment="1">
      <alignment vertical="center"/>
    </xf>
    <xf numFmtId="164" fontId="19" fillId="4" borderId="18" xfId="0" applyNumberFormat="1" applyFont="1" applyFill="1" applyBorder="1" applyAlignment="1">
      <alignment vertical="center"/>
    </xf>
    <xf numFmtId="164" fontId="19" fillId="4" borderId="19" xfId="0" applyNumberFormat="1" applyFont="1" applyFill="1" applyBorder="1" applyAlignment="1">
      <alignment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164" fontId="28" fillId="0" borderId="18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 wrapText="1"/>
    </xf>
    <xf numFmtId="2" fontId="7" fillId="0" borderId="18" xfId="1" applyNumberFormat="1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 indent="7"/>
    </xf>
    <xf numFmtId="0" fontId="30" fillId="0" borderId="17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left" vertical="center" wrapText="1" indent="4"/>
    </xf>
    <xf numFmtId="0" fontId="30" fillId="0" borderId="18" xfId="0" applyFont="1" applyBorder="1" applyAlignment="1">
      <alignment horizontal="center" vertical="center" wrapText="1"/>
    </xf>
    <xf numFmtId="164" fontId="11" fillId="0" borderId="18" xfId="0" applyNumberFormat="1" applyFont="1" applyBorder="1" applyAlignment="1">
      <alignment vertical="center" wrapText="1"/>
    </xf>
    <xf numFmtId="164" fontId="11" fillId="0" borderId="19" xfId="0" applyNumberFormat="1" applyFont="1" applyBorder="1" applyAlignment="1">
      <alignment vertical="center"/>
    </xf>
    <xf numFmtId="164" fontId="31" fillId="0" borderId="19" xfId="0" applyNumberFormat="1" applyFont="1" applyBorder="1" applyAlignment="1">
      <alignment vertical="center"/>
    </xf>
    <xf numFmtId="0" fontId="31" fillId="0" borderId="0" xfId="0" applyFont="1" applyAlignment="1">
      <alignment vertical="center"/>
    </xf>
    <xf numFmtId="2" fontId="32" fillId="4" borderId="18" xfId="0" applyNumberFormat="1" applyFont="1" applyFill="1" applyBorder="1" applyAlignment="1">
      <alignment horizontal="left" vertical="center" wrapText="1" indent="1"/>
    </xf>
    <xf numFmtId="0" fontId="20" fillId="0" borderId="20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left" vertical="center" wrapText="1" indent="4"/>
    </xf>
    <xf numFmtId="0" fontId="30" fillId="0" borderId="21" xfId="0" applyFont="1" applyBorder="1" applyAlignment="1">
      <alignment horizontal="center" vertical="center" wrapText="1"/>
    </xf>
    <xf numFmtId="2" fontId="11" fillId="0" borderId="21" xfId="0" applyNumberFormat="1" applyFont="1" applyBorder="1" applyAlignment="1">
      <alignment vertical="center" wrapText="1"/>
    </xf>
    <xf numFmtId="164" fontId="11" fillId="0" borderId="21" xfId="0" applyNumberFormat="1" applyFont="1" applyBorder="1" applyAlignment="1">
      <alignment vertical="center" wrapText="1"/>
    </xf>
    <xf numFmtId="3" fontId="34" fillId="7" borderId="26" xfId="3" applyNumberFormat="1" applyFont="1" applyFill="1" applyBorder="1" applyAlignment="1">
      <alignment vertical="center" wrapText="1"/>
    </xf>
    <xf numFmtId="3" fontId="34" fillId="0" borderId="3" xfId="3" applyNumberFormat="1" applyFont="1" applyBorder="1" applyAlignment="1">
      <alignment vertical="center" wrapText="1"/>
    </xf>
    <xf numFmtId="0" fontId="36" fillId="0" borderId="0" xfId="0" applyFont="1" applyAlignment="1">
      <alignment vertical="center"/>
    </xf>
    <xf numFmtId="0" fontId="20" fillId="0" borderId="27" xfId="3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6" fillId="0" borderId="0" xfId="3" applyFont="1" applyAlignment="1">
      <alignment horizontal="center" vertical="center" wrapText="1"/>
    </xf>
    <xf numFmtId="3" fontId="26" fillId="0" borderId="0" xfId="3" applyNumberFormat="1" applyFont="1" applyAlignment="1">
      <alignment vertical="center" wrapText="1"/>
    </xf>
    <xf numFmtId="0" fontId="20" fillId="0" borderId="0" xfId="3" applyFont="1" applyAlignment="1">
      <alignment horizontal="center" vertical="center" wrapText="1"/>
    </xf>
    <xf numFmtId="3" fontId="34" fillId="0" borderId="0" xfId="3" applyNumberFormat="1" applyFont="1" applyAlignment="1">
      <alignment vertical="center" wrapText="1"/>
    </xf>
    <xf numFmtId="166" fontId="7" fillId="0" borderId="0" xfId="1" applyNumberFormat="1" applyFont="1" applyAlignment="1">
      <alignment horizontal="center" vertical="center"/>
    </xf>
    <xf numFmtId="0" fontId="28" fillId="0" borderId="18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 indent="3"/>
    </xf>
    <xf numFmtId="0" fontId="40" fillId="0" borderId="0" xfId="0" applyFont="1"/>
    <xf numFmtId="0" fontId="42" fillId="8" borderId="43" xfId="3" applyFont="1" applyFill="1" applyBorder="1" applyAlignment="1">
      <alignment vertical="center"/>
    </xf>
    <xf numFmtId="0" fontId="42" fillId="8" borderId="43" xfId="3" applyFont="1" applyFill="1" applyBorder="1" applyAlignment="1">
      <alignment vertical="center" wrapText="1"/>
    </xf>
    <xf numFmtId="0" fontId="42" fillId="8" borderId="43" xfId="3" applyFont="1" applyFill="1" applyBorder="1" applyAlignment="1">
      <alignment horizontal="center" vertical="center" wrapText="1"/>
    </xf>
    <xf numFmtId="3" fontId="42" fillId="8" borderId="43" xfId="3" applyNumberFormat="1" applyFont="1" applyFill="1" applyBorder="1" applyAlignment="1">
      <alignment horizontal="center" vertical="center"/>
    </xf>
    <xf numFmtId="0" fontId="43" fillId="0" borderId="0" xfId="3" applyFont="1" applyAlignment="1">
      <alignment vertical="center"/>
    </xf>
    <xf numFmtId="0" fontId="44" fillId="0" borderId="0" xfId="3" applyFont="1" applyAlignment="1">
      <alignment vertical="center"/>
    </xf>
    <xf numFmtId="0" fontId="42" fillId="0" borderId="0" xfId="3" applyFont="1" applyAlignment="1">
      <alignment vertical="center"/>
    </xf>
    <xf numFmtId="0" fontId="45" fillId="0" borderId="0" xfId="3" applyFont="1" applyAlignment="1">
      <alignment vertical="center"/>
    </xf>
    <xf numFmtId="0" fontId="42" fillId="0" borderId="43" xfId="3" applyFont="1" applyBorder="1" applyAlignment="1">
      <alignment horizontal="left" vertical="center"/>
    </xf>
    <xf numFmtId="0" fontId="42" fillId="0" borderId="43" xfId="3" applyFont="1" applyFill="1" applyBorder="1" applyAlignment="1">
      <alignment horizontal="left" vertical="center"/>
    </xf>
    <xf numFmtId="0" fontId="42" fillId="0" borderId="0" xfId="3" applyFont="1" applyFill="1" applyAlignment="1">
      <alignment vertical="center"/>
    </xf>
    <xf numFmtId="0" fontId="45" fillId="0" borderId="0" xfId="3" applyFont="1" applyFill="1" applyAlignment="1">
      <alignment vertical="center"/>
    </xf>
    <xf numFmtId="0" fontId="44" fillId="0" borderId="0" xfId="3" applyFont="1" applyFill="1" applyAlignment="1">
      <alignment vertical="center"/>
    </xf>
    <xf numFmtId="0" fontId="43" fillId="0" borderId="43" xfId="3" applyFont="1" applyFill="1" applyBorder="1" applyAlignment="1">
      <alignment horizontal="left" vertical="center"/>
    </xf>
    <xf numFmtId="0" fontId="43" fillId="0" borderId="43" xfId="4" applyFont="1" applyFill="1" applyBorder="1" applyAlignment="1">
      <alignment horizontal="justify" vertical="center" wrapText="1"/>
    </xf>
    <xf numFmtId="3" fontId="43" fillId="0" borderId="43" xfId="3" applyNumberFormat="1" applyFont="1" applyFill="1" applyBorder="1" applyAlignment="1">
      <alignment horizontal="center" vertical="center" wrapText="1"/>
    </xf>
    <xf numFmtId="3" fontId="43" fillId="0" borderId="43" xfId="3" applyNumberFormat="1" applyFont="1" applyFill="1" applyBorder="1" applyAlignment="1">
      <alignment horizontal="center" vertical="center"/>
    </xf>
    <xf numFmtId="0" fontId="43" fillId="0" borderId="43" xfId="3" applyFont="1" applyFill="1" applyBorder="1" applyAlignment="1">
      <alignment vertical="center" wrapText="1"/>
    </xf>
    <xf numFmtId="167" fontId="43" fillId="0" borderId="43" xfId="3" applyNumberFormat="1" applyFont="1" applyFill="1" applyBorder="1" applyAlignment="1">
      <alignment horizontal="center" vertical="center"/>
    </xf>
    <xf numFmtId="0" fontId="43" fillId="0" borderId="43" xfId="3" applyFont="1" applyFill="1" applyBorder="1" applyAlignment="1">
      <alignment horizontal="center" vertical="center"/>
    </xf>
    <xf numFmtId="4" fontId="43" fillId="0" borderId="43" xfId="3" applyNumberFormat="1" applyFont="1" applyFill="1" applyBorder="1" applyAlignment="1">
      <alignment horizontal="center" vertical="center" wrapText="1"/>
    </xf>
    <xf numFmtId="0" fontId="42" fillId="10" borderId="43" xfId="3" applyFont="1" applyFill="1" applyBorder="1" applyAlignment="1">
      <alignment horizontal="left" vertical="center"/>
    </xf>
    <xf numFmtId="3" fontId="43" fillId="0" borderId="43" xfId="3" applyNumberFormat="1" applyFont="1" applyBorder="1" applyAlignment="1">
      <alignment horizontal="center" vertical="center" wrapText="1"/>
    </xf>
    <xf numFmtId="0" fontId="43" fillId="0" borderId="43" xfId="3" applyFont="1" applyBorder="1" applyAlignment="1">
      <alignment horizontal="center" vertical="center"/>
    </xf>
    <xf numFmtId="0" fontId="43" fillId="0" borderId="43" xfId="3" applyFont="1" applyBorder="1" applyAlignment="1">
      <alignment horizontal="left" vertical="center"/>
    </xf>
    <xf numFmtId="0" fontId="42" fillId="0" borderId="44" xfId="4" applyFont="1" applyFill="1" applyBorder="1" applyAlignment="1">
      <alignment horizontal="left" vertical="center" wrapText="1"/>
    </xf>
    <xf numFmtId="0" fontId="42" fillId="0" borderId="45" xfId="4" applyFont="1" applyFill="1" applyBorder="1" applyAlignment="1">
      <alignment horizontal="left" vertical="center" wrapText="1"/>
    </xf>
    <xf numFmtId="0" fontId="43" fillId="0" borderId="43" xfId="4" applyFont="1" applyBorder="1" applyAlignment="1">
      <alignment horizontal="justify" vertical="center" wrapText="1"/>
    </xf>
    <xf numFmtId="3" fontId="43" fillId="0" borderId="43" xfId="3" applyNumberFormat="1" applyFont="1" applyBorder="1" applyAlignment="1">
      <alignment horizontal="center" vertical="center"/>
    </xf>
    <xf numFmtId="0" fontId="43" fillId="0" borderId="43" xfId="3" applyFont="1" applyBorder="1" applyAlignment="1">
      <alignment vertical="center" wrapText="1"/>
    </xf>
    <xf numFmtId="167" fontId="43" fillId="0" borderId="43" xfId="3" applyNumberFormat="1" applyFont="1" applyBorder="1" applyAlignment="1">
      <alignment horizontal="center" vertical="center"/>
    </xf>
    <xf numFmtId="0" fontId="42" fillId="11" borderId="0" xfId="3" applyFont="1" applyFill="1" applyAlignment="1">
      <alignment vertical="center"/>
    </xf>
    <xf numFmtId="0" fontId="45" fillId="11" borderId="0" xfId="3" applyFont="1" applyFill="1" applyAlignment="1">
      <alignment vertical="center"/>
    </xf>
    <xf numFmtId="0" fontId="44" fillId="11" borderId="0" xfId="3" applyFont="1" applyFill="1" applyAlignment="1">
      <alignment vertical="center"/>
    </xf>
    <xf numFmtId="0" fontId="41" fillId="0" borderId="0" xfId="4"/>
    <xf numFmtId="0" fontId="6" fillId="0" borderId="18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 indent="3"/>
    </xf>
    <xf numFmtId="2" fontId="6" fillId="0" borderId="18" xfId="0" applyNumberFormat="1" applyFont="1" applyBorder="1" applyAlignment="1">
      <alignment horizontal="center" vertical="center" wrapText="1"/>
    </xf>
    <xf numFmtId="164" fontId="6" fillId="0" borderId="18" xfId="0" applyNumberFormat="1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vertical="center"/>
    </xf>
    <xf numFmtId="0" fontId="6" fillId="0" borderId="1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9" fontId="0" fillId="0" borderId="0" xfId="0" applyNumberFormat="1" applyFont="1" applyAlignment="1">
      <alignment vertical="center" wrapText="1"/>
    </xf>
    <xf numFmtId="164" fontId="0" fillId="0" borderId="0" xfId="0" applyNumberFormat="1" applyFont="1" applyAlignment="1">
      <alignment vertical="center" wrapText="1"/>
    </xf>
    <xf numFmtId="164" fontId="28" fillId="0" borderId="0" xfId="0" applyNumberFormat="1" applyFont="1" applyAlignment="1">
      <alignment vertical="center" wrapText="1"/>
    </xf>
    <xf numFmtId="164" fontId="12" fillId="0" borderId="0" xfId="0" applyNumberFormat="1" applyFont="1" applyFill="1" applyAlignment="1">
      <alignment vertical="center" wrapText="1"/>
    </xf>
    <xf numFmtId="164" fontId="13" fillId="0" borderId="0" xfId="0" applyNumberFormat="1" applyFont="1" applyFill="1" applyAlignment="1">
      <alignment vertical="center" wrapText="1"/>
    </xf>
    <xf numFmtId="0" fontId="0" fillId="0" borderId="52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53" xfId="0" applyFont="1" applyBorder="1" applyAlignment="1">
      <alignment vertical="center"/>
    </xf>
    <xf numFmtId="0" fontId="28" fillId="12" borderId="55" xfId="0" applyFont="1" applyFill="1" applyBorder="1" applyAlignment="1">
      <alignment horizontal="center" vertical="center"/>
    </xf>
    <xf numFmtId="0" fontId="13" fillId="0" borderId="5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164" fontId="13" fillId="0" borderId="0" xfId="0" applyNumberFormat="1" applyFont="1" applyBorder="1" applyAlignment="1">
      <alignment vertical="center"/>
    </xf>
    <xf numFmtId="164" fontId="13" fillId="0" borderId="53" xfId="0" applyNumberFormat="1" applyFont="1" applyBorder="1" applyAlignment="1">
      <alignment vertical="center"/>
    </xf>
    <xf numFmtId="164" fontId="49" fillId="12" borderId="57" xfId="0" applyNumberFormat="1" applyFont="1" applyFill="1" applyBorder="1" applyAlignment="1">
      <alignment vertical="center"/>
    </xf>
    <xf numFmtId="164" fontId="33" fillId="0" borderId="0" xfId="0" applyNumberFormat="1" applyFont="1" applyAlignment="1">
      <alignment vertical="center"/>
    </xf>
    <xf numFmtId="0" fontId="33" fillId="0" borderId="52" xfId="0" applyFont="1" applyBorder="1" applyAlignment="1">
      <alignment vertical="center"/>
    </xf>
    <xf numFmtId="0" fontId="33" fillId="13" borderId="0" xfId="0" applyFont="1" applyFill="1" applyBorder="1" applyAlignment="1">
      <alignment horizontal="left" vertical="center" indent="2"/>
    </xf>
    <xf numFmtId="0" fontId="33" fillId="13" borderId="0" xfId="0" applyFont="1" applyFill="1" applyBorder="1" applyAlignment="1">
      <alignment horizontal="center" vertical="center"/>
    </xf>
    <xf numFmtId="164" fontId="33" fillId="13" borderId="0" xfId="0" applyNumberFormat="1" applyFont="1" applyFill="1" applyBorder="1" applyAlignment="1">
      <alignment vertical="center"/>
    </xf>
    <xf numFmtId="164" fontId="33" fillId="13" borderId="53" xfId="0" applyNumberFormat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33" fillId="13" borderId="0" xfId="0" applyFont="1" applyFill="1" applyBorder="1" applyAlignment="1">
      <alignment horizontal="left" vertical="center" indent="3"/>
    </xf>
    <xf numFmtId="0" fontId="49" fillId="13" borderId="0" xfId="0" applyFont="1" applyFill="1" applyBorder="1" applyAlignment="1">
      <alignment horizontal="left" vertical="center" indent="2"/>
    </xf>
    <xf numFmtId="164" fontId="49" fillId="0" borderId="0" xfId="0" applyNumberFormat="1" applyFont="1" applyAlignment="1">
      <alignment vertical="center"/>
    </xf>
    <xf numFmtId="0" fontId="33" fillId="13" borderId="0" xfId="0" applyFont="1" applyFill="1" applyBorder="1" applyAlignment="1">
      <alignment horizontal="left" vertical="center" indent="5"/>
    </xf>
    <xf numFmtId="0" fontId="33" fillId="0" borderId="52" xfId="0" applyFont="1" applyBorder="1" applyAlignment="1">
      <alignment horizontal="left" vertical="center"/>
    </xf>
    <xf numFmtId="164" fontId="33" fillId="13" borderId="0" xfId="0" applyNumberFormat="1" applyFont="1" applyFill="1" applyBorder="1" applyAlignment="1">
      <alignment horizontal="left" vertical="center"/>
    </xf>
    <xf numFmtId="164" fontId="33" fillId="13" borderId="53" xfId="0" applyNumberFormat="1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0" fillId="0" borderId="52" xfId="0" applyFont="1" applyBorder="1" applyAlignment="1">
      <alignment horizontal="left" vertical="center"/>
    </xf>
    <xf numFmtId="0" fontId="0" fillId="13" borderId="0" xfId="0" applyFont="1" applyFill="1" applyBorder="1" applyAlignment="1">
      <alignment horizontal="left" vertical="center" indent="2"/>
    </xf>
    <xf numFmtId="0" fontId="0" fillId="13" borderId="0" xfId="0" applyFont="1" applyFill="1" applyBorder="1" applyAlignment="1">
      <alignment horizontal="center" vertical="center"/>
    </xf>
    <xf numFmtId="164" fontId="0" fillId="13" borderId="0" xfId="0" applyNumberFormat="1" applyFont="1" applyFill="1" applyBorder="1" applyAlignment="1">
      <alignment horizontal="left" vertical="center"/>
    </xf>
    <xf numFmtId="164" fontId="0" fillId="13" borderId="53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50" fillId="13" borderId="0" xfId="0" applyFont="1" applyFill="1" applyBorder="1" applyAlignment="1">
      <alignment horizontal="left" vertical="center" indent="2"/>
    </xf>
    <xf numFmtId="0" fontId="50" fillId="13" borderId="0" xfId="0" applyFont="1" applyFill="1" applyBorder="1" applyAlignment="1">
      <alignment horizontal="center" vertical="center"/>
    </xf>
    <xf numFmtId="164" fontId="50" fillId="13" borderId="0" xfId="0" applyNumberFormat="1" applyFont="1" applyFill="1" applyBorder="1" applyAlignment="1">
      <alignment horizontal="left" vertical="center"/>
    </xf>
    <xf numFmtId="164" fontId="50" fillId="13" borderId="53" xfId="0" applyNumberFormat="1" applyFont="1" applyFill="1" applyBorder="1" applyAlignment="1">
      <alignment horizontal="left" vertical="center"/>
    </xf>
    <xf numFmtId="0" fontId="51" fillId="13" borderId="0" xfId="0" applyFont="1" applyFill="1" applyBorder="1" applyAlignment="1">
      <alignment horizontal="left" vertical="center" indent="2"/>
    </xf>
    <xf numFmtId="0" fontId="51" fillId="13" borderId="0" xfId="0" applyFont="1" applyFill="1" applyBorder="1" applyAlignment="1">
      <alignment horizontal="center" vertical="center"/>
    </xf>
    <xf numFmtId="164" fontId="51" fillId="13" borderId="0" xfId="0" applyNumberFormat="1" applyFont="1" applyFill="1" applyBorder="1" applyAlignment="1">
      <alignment horizontal="left" vertical="center"/>
    </xf>
    <xf numFmtId="164" fontId="51" fillId="13" borderId="53" xfId="0" applyNumberFormat="1" applyFont="1" applyFill="1" applyBorder="1" applyAlignment="1">
      <alignment horizontal="left" vertical="center"/>
    </xf>
    <xf numFmtId="0" fontId="0" fillId="13" borderId="0" xfId="0" applyFont="1" applyFill="1" applyBorder="1" applyAlignment="1">
      <alignment horizontal="left" vertical="center"/>
    </xf>
    <xf numFmtId="164" fontId="0" fillId="13" borderId="0" xfId="0" applyNumberFormat="1" applyFont="1" applyFill="1" applyBorder="1" applyAlignment="1">
      <alignment vertical="center"/>
    </xf>
    <xf numFmtId="164" fontId="0" fillId="13" borderId="53" xfId="0" applyNumberFormat="1" applyFont="1" applyFill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164" fontId="0" fillId="0" borderId="0" xfId="0" applyNumberFormat="1" applyFont="1" applyBorder="1" applyAlignment="1">
      <alignment vertical="center"/>
    </xf>
    <xf numFmtId="164" fontId="0" fillId="0" borderId="53" xfId="0" applyNumberFormat="1" applyFont="1" applyBorder="1" applyAlignment="1">
      <alignment vertical="center"/>
    </xf>
    <xf numFmtId="164" fontId="51" fillId="0" borderId="0" xfId="0" applyNumberFormat="1" applyFont="1" applyAlignment="1">
      <alignment vertical="center"/>
    </xf>
    <xf numFmtId="164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58" xfId="0" applyFont="1" applyBorder="1" applyAlignment="1">
      <alignment vertical="center"/>
    </xf>
    <xf numFmtId="0" fontId="0" fillId="0" borderId="42" xfId="0" applyFont="1" applyBorder="1" applyAlignment="1">
      <alignment vertical="center"/>
    </xf>
    <xf numFmtId="0" fontId="0" fillId="0" borderId="42" xfId="0" applyFont="1" applyBorder="1" applyAlignment="1">
      <alignment horizontal="center" vertical="center"/>
    </xf>
    <xf numFmtId="164" fontId="0" fillId="0" borderId="42" xfId="0" applyNumberFormat="1" applyFont="1" applyBorder="1" applyAlignment="1">
      <alignment vertical="center"/>
    </xf>
    <xf numFmtId="164" fontId="13" fillId="0" borderId="59" xfId="0" applyNumberFormat="1" applyFont="1" applyBorder="1" applyAlignment="1">
      <alignment vertical="center"/>
    </xf>
    <xf numFmtId="164" fontId="0" fillId="0" borderId="47" xfId="0" applyNumberFormat="1" applyFont="1" applyBorder="1" applyAlignment="1">
      <alignment vertical="center"/>
    </xf>
    <xf numFmtId="164" fontId="0" fillId="0" borderId="49" xfId="0" applyNumberFormat="1" applyFont="1" applyBorder="1" applyAlignment="1">
      <alignment vertical="center"/>
    </xf>
    <xf numFmtId="10" fontId="27" fillId="0" borderId="0" xfId="2" applyNumberFormat="1" applyFont="1" applyAlignment="1">
      <alignment horizontal="center" vertical="center"/>
    </xf>
    <xf numFmtId="0" fontId="26" fillId="11" borderId="52" xfId="0" applyFont="1" applyFill="1" applyBorder="1" applyAlignment="1">
      <alignment vertical="center"/>
    </xf>
    <xf numFmtId="164" fontId="26" fillId="11" borderId="53" xfId="0" applyNumberFormat="1" applyFont="1" applyFill="1" applyBorder="1" applyAlignment="1">
      <alignment vertical="center"/>
    </xf>
    <xf numFmtId="164" fontId="0" fillId="0" borderId="52" xfId="0" applyNumberFormat="1" applyFont="1" applyBorder="1" applyAlignment="1">
      <alignment vertical="center"/>
    </xf>
    <xf numFmtId="164" fontId="22" fillId="0" borderId="0" xfId="0" applyNumberFormat="1" applyFont="1" applyAlignment="1">
      <alignment vertical="center"/>
    </xf>
    <xf numFmtId="0" fontId="52" fillId="14" borderId="0" xfId="0" applyFont="1" applyFill="1" applyAlignment="1">
      <alignment vertical="center"/>
    </xf>
    <xf numFmtId="0" fontId="53" fillId="14" borderId="0" xfId="0" applyFont="1" applyFill="1" applyAlignment="1">
      <alignment vertical="center"/>
    </xf>
    <xf numFmtId="164" fontId="53" fillId="14" borderId="0" xfId="0" applyNumberFormat="1" applyFont="1" applyFill="1" applyAlignment="1">
      <alignment vertical="center"/>
    </xf>
    <xf numFmtId="164" fontId="0" fillId="0" borderId="58" xfId="0" applyNumberFormat="1" applyFont="1" applyBorder="1" applyAlignment="1">
      <alignment vertical="center"/>
    </xf>
    <xf numFmtId="164" fontId="28" fillId="0" borderId="59" xfId="0" applyNumberFormat="1" applyFont="1" applyBorder="1" applyAlignment="1">
      <alignment vertical="center"/>
    </xf>
    <xf numFmtId="164" fontId="52" fillId="14" borderId="0" xfId="0" applyNumberFormat="1" applyFont="1" applyFill="1" applyAlignment="1">
      <alignment vertical="center"/>
    </xf>
    <xf numFmtId="164" fontId="0" fillId="0" borderId="0" xfId="0" applyNumberFormat="1" applyFont="1" applyAlignment="1">
      <alignment vertical="center"/>
    </xf>
    <xf numFmtId="164" fontId="25" fillId="0" borderId="0" xfId="0" applyNumberFormat="1" applyFont="1" applyAlignment="1">
      <alignment vertical="center"/>
    </xf>
    <xf numFmtId="164" fontId="33" fillId="0" borderId="9" xfId="0" applyNumberFormat="1" applyFont="1" applyBorder="1" applyAlignment="1">
      <alignment vertical="center"/>
    </xf>
    <xf numFmtId="0" fontId="0" fillId="0" borderId="9" xfId="0" applyFont="1" applyBorder="1" applyAlignment="1">
      <alignment vertical="center"/>
    </xf>
    <xf numFmtId="164" fontId="50" fillId="11" borderId="10" xfId="0" applyNumberFormat="1" applyFont="1" applyFill="1" applyBorder="1" applyAlignment="1">
      <alignment vertical="center"/>
    </xf>
    <xf numFmtId="168" fontId="33" fillId="0" borderId="0" xfId="0" applyNumberFormat="1" applyFont="1" applyAlignment="1">
      <alignment vertical="center"/>
    </xf>
    <xf numFmtId="0" fontId="54" fillId="0" borderId="43" xfId="3" applyFont="1" applyFill="1" applyBorder="1" applyAlignment="1">
      <alignment horizontal="left" vertical="center"/>
    </xf>
    <xf numFmtId="0" fontId="36" fillId="0" borderId="17" xfId="0" applyFont="1" applyBorder="1" applyAlignment="1">
      <alignment horizontal="center" vertical="center" wrapText="1"/>
    </xf>
    <xf numFmtId="2" fontId="26" fillId="0" borderId="18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55" fillId="0" borderId="43" xfId="3" applyFont="1" applyBorder="1" applyAlignment="1">
      <alignment horizontal="left" vertical="center"/>
    </xf>
    <xf numFmtId="0" fontId="55" fillId="0" borderId="43" xfId="4" applyFont="1" applyFill="1" applyBorder="1" applyAlignment="1">
      <alignment horizontal="justify" vertical="center" wrapText="1"/>
    </xf>
    <xf numFmtId="0" fontId="55" fillId="0" borderId="43" xfId="3" applyFont="1" applyFill="1" applyBorder="1" applyAlignment="1">
      <alignment horizontal="left" vertical="center"/>
    </xf>
    <xf numFmtId="0" fontId="28" fillId="12" borderId="54" xfId="0" applyFont="1" applyFill="1" applyBorder="1" applyAlignment="1">
      <alignment horizontal="center" vertical="center" wrapText="1"/>
    </xf>
    <xf numFmtId="164" fontId="49" fillId="12" borderId="56" xfId="0" applyNumberFormat="1" applyFont="1" applyFill="1" applyBorder="1" applyAlignment="1">
      <alignment vertical="center" wrapText="1"/>
    </xf>
    <xf numFmtId="164" fontId="33" fillId="0" borderId="0" xfId="0" applyNumberFormat="1" applyFont="1" applyAlignment="1">
      <alignment vertical="center" wrapText="1"/>
    </xf>
    <xf numFmtId="0" fontId="33" fillId="0" borderId="0" xfId="0" applyFont="1" applyAlignment="1">
      <alignment vertical="center" wrapText="1"/>
    </xf>
    <xf numFmtId="164" fontId="49" fillId="0" borderId="0" xfId="0" applyNumberFormat="1" applyFont="1" applyAlignment="1">
      <alignment vertical="center" wrapText="1"/>
    </xf>
    <xf numFmtId="164" fontId="50" fillId="0" borderId="0" xfId="0" applyNumberFormat="1" applyFont="1" applyAlignment="1">
      <alignment vertical="center" wrapText="1"/>
    </xf>
    <xf numFmtId="164" fontId="51" fillId="0" borderId="0" xfId="0" applyNumberFormat="1" applyFont="1" applyAlignment="1">
      <alignment vertical="center" wrapText="1"/>
    </xf>
    <xf numFmtId="0" fontId="52" fillId="14" borderId="0" xfId="0" applyFont="1" applyFill="1" applyAlignment="1">
      <alignment vertical="center" wrapText="1"/>
    </xf>
    <xf numFmtId="164" fontId="33" fillId="0" borderId="0" xfId="0" applyNumberFormat="1" applyFont="1" applyAlignment="1">
      <alignment horizontal="center" vertical="center" wrapText="1"/>
    </xf>
    <xf numFmtId="0" fontId="53" fillId="14" borderId="0" xfId="0" applyFont="1" applyFill="1" applyAlignment="1">
      <alignment vertical="center" wrapText="1"/>
    </xf>
    <xf numFmtId="0" fontId="49" fillId="0" borderId="8" xfId="0" applyFont="1" applyBorder="1" applyAlignment="1">
      <alignment vertical="center" wrapText="1"/>
    </xf>
    <xf numFmtId="164" fontId="49" fillId="11" borderId="0" xfId="0" applyNumberFormat="1" applyFont="1" applyFill="1" applyAlignment="1">
      <alignment vertical="center"/>
    </xf>
    <xf numFmtId="0" fontId="20" fillId="0" borderId="18" xfId="0" applyFont="1" applyBorder="1" applyAlignment="1">
      <alignment horizontal="left" vertical="center" wrapText="1" indent="3"/>
    </xf>
    <xf numFmtId="2" fontId="20" fillId="0" borderId="18" xfId="0" applyNumberFormat="1" applyFont="1" applyBorder="1" applyAlignment="1">
      <alignment horizontal="center" vertical="center" wrapText="1"/>
    </xf>
    <xf numFmtId="164" fontId="20" fillId="0" borderId="18" xfId="0" applyNumberFormat="1" applyFont="1" applyBorder="1" applyAlignment="1">
      <alignment horizontal="center" vertical="center" wrapText="1"/>
    </xf>
    <xf numFmtId="164" fontId="20" fillId="0" borderId="19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164" fontId="20" fillId="0" borderId="18" xfId="1" applyNumberFormat="1" applyFont="1" applyBorder="1" applyAlignment="1">
      <alignment horizontal="center" vertical="center" wrapText="1"/>
    </xf>
    <xf numFmtId="164" fontId="20" fillId="0" borderId="18" xfId="0" applyNumberFormat="1" applyFont="1" applyBorder="1" applyAlignment="1">
      <alignment vertical="center" wrapText="1"/>
    </xf>
    <xf numFmtId="0" fontId="30" fillId="0" borderId="17" xfId="0" applyFont="1" applyBorder="1" applyAlignment="1">
      <alignment horizontal="left" vertical="center" wrapText="1" indent="2"/>
    </xf>
    <xf numFmtId="0" fontId="20" fillId="0" borderId="18" xfId="0" applyFont="1" applyBorder="1" applyAlignment="1">
      <alignment horizontal="left" vertical="center" wrapText="1" indent="2"/>
    </xf>
    <xf numFmtId="164" fontId="20" fillId="11" borderId="18" xfId="0" applyNumberFormat="1" applyFont="1" applyFill="1" applyBorder="1" applyAlignment="1">
      <alignment horizontal="center" vertical="center" wrapText="1"/>
    </xf>
    <xf numFmtId="2" fontId="26" fillId="11" borderId="18" xfId="0" applyNumberFormat="1" applyFont="1" applyFill="1" applyBorder="1" applyAlignment="1">
      <alignment horizontal="center" vertical="center" wrapText="1"/>
    </xf>
    <xf numFmtId="168" fontId="51" fillId="0" borderId="0" xfId="0" applyNumberFormat="1" applyFont="1" applyAlignment="1">
      <alignment vertical="center" wrapText="1"/>
    </xf>
    <xf numFmtId="168" fontId="33" fillId="0" borderId="0" xfId="0" applyNumberFormat="1" applyFont="1" applyAlignment="1">
      <alignment vertical="center" wrapText="1"/>
    </xf>
    <xf numFmtId="0" fontId="5" fillId="0" borderId="18" xfId="0" applyFont="1" applyBorder="1" applyAlignment="1">
      <alignment horizontal="left" vertical="center" wrapText="1" indent="3"/>
    </xf>
    <xf numFmtId="0" fontId="5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vertical="center"/>
    </xf>
    <xf numFmtId="0" fontId="12" fillId="10" borderId="62" xfId="0" applyFont="1" applyFill="1" applyBorder="1" applyAlignment="1">
      <alignment horizontal="center" vertical="center"/>
    </xf>
    <xf numFmtId="0" fontId="20" fillId="7" borderId="18" xfId="0" applyFont="1" applyFill="1" applyBorder="1" applyAlignment="1">
      <alignment horizontal="center" vertical="center" wrapText="1"/>
    </xf>
    <xf numFmtId="164" fontId="5" fillId="7" borderId="18" xfId="0" applyNumberFormat="1" applyFont="1" applyFill="1" applyBorder="1" applyAlignment="1">
      <alignment vertical="center" wrapText="1"/>
    </xf>
    <xf numFmtId="0" fontId="12" fillId="10" borderId="62" xfId="0" applyFont="1" applyFill="1" applyBorder="1" applyAlignment="1">
      <alignment horizontal="center" vertical="center" wrapText="1"/>
    </xf>
    <xf numFmtId="164" fontId="5" fillId="7" borderId="18" xfId="0" applyNumberFormat="1" applyFont="1" applyFill="1" applyBorder="1" applyAlignment="1">
      <alignment vertical="center"/>
    </xf>
    <xf numFmtId="0" fontId="5" fillId="7" borderId="1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 wrapText="1"/>
    </xf>
    <xf numFmtId="0" fontId="5" fillId="11" borderId="15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left" vertical="center" wrapText="1"/>
    </xf>
    <xf numFmtId="164" fontId="22" fillId="0" borderId="19" xfId="0" applyNumberFormat="1" applyFont="1" applyBorder="1" applyAlignment="1">
      <alignment vertical="center" wrapText="1"/>
    </xf>
    <xf numFmtId="0" fontId="21" fillId="0" borderId="18" xfId="0" applyFont="1" applyBorder="1" applyAlignment="1">
      <alignment horizontal="left" vertical="center" wrapText="1" indent="5"/>
    </xf>
    <xf numFmtId="0" fontId="21" fillId="0" borderId="18" xfId="0" applyFont="1" applyBorder="1" applyAlignment="1">
      <alignment horizontal="left" vertical="center" wrapText="1" indent="8"/>
    </xf>
    <xf numFmtId="0" fontId="20" fillId="0" borderId="18" xfId="0" applyFont="1" applyBorder="1" applyAlignment="1">
      <alignment horizontal="left" vertical="center" wrapText="1" indent="1"/>
    </xf>
    <xf numFmtId="0" fontId="30" fillId="0" borderId="18" xfId="0" applyFont="1" applyBorder="1" applyAlignment="1">
      <alignment horizontal="left" vertical="center" wrapText="1" indent="2"/>
    </xf>
    <xf numFmtId="0" fontId="30" fillId="7" borderId="17" xfId="0" applyFont="1" applyFill="1" applyBorder="1" applyAlignment="1">
      <alignment horizontal="left" vertical="center" wrapText="1" indent="2"/>
    </xf>
    <xf numFmtId="0" fontId="30" fillId="7" borderId="18" xfId="0" applyFont="1" applyFill="1" applyBorder="1" applyAlignment="1">
      <alignment horizontal="left" vertical="center" wrapText="1" indent="2"/>
    </xf>
    <xf numFmtId="0" fontId="30" fillId="0" borderId="15" xfId="0" applyFont="1" applyBorder="1" applyAlignment="1">
      <alignment horizontal="left" vertical="center" wrapText="1" indent="2"/>
    </xf>
    <xf numFmtId="0" fontId="30" fillId="11" borderId="17" xfId="0" applyFont="1" applyFill="1" applyBorder="1" applyAlignment="1">
      <alignment horizontal="left" vertical="center" wrapText="1" indent="2"/>
    </xf>
    <xf numFmtId="0" fontId="30" fillId="11" borderId="15" xfId="0" applyFont="1" applyFill="1" applyBorder="1" applyAlignment="1">
      <alignment horizontal="left" vertical="center" wrapText="1" indent="2"/>
    </xf>
    <xf numFmtId="0" fontId="11" fillId="0" borderId="18" xfId="0" applyFont="1" applyBorder="1" applyAlignment="1">
      <alignment horizontal="left" vertical="center" wrapText="1" indent="2"/>
    </xf>
    <xf numFmtId="0" fontId="30" fillId="0" borderId="14" xfId="0" applyFont="1" applyBorder="1" applyAlignment="1">
      <alignment horizontal="left" vertical="center" wrapText="1" indent="2"/>
    </xf>
    <xf numFmtId="0" fontId="30" fillId="11" borderId="14" xfId="0" applyFont="1" applyFill="1" applyBorder="1" applyAlignment="1">
      <alignment horizontal="left" vertical="center" wrapText="1" indent="2"/>
    </xf>
    <xf numFmtId="0" fontId="11" fillId="0" borderId="17" xfId="0" applyFont="1" applyBorder="1" applyAlignment="1">
      <alignment horizontal="left" vertical="center" indent="2"/>
    </xf>
    <xf numFmtId="0" fontId="11" fillId="0" borderId="17" xfId="0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 wrapText="1" indent="1"/>
    </xf>
    <xf numFmtId="2" fontId="5" fillId="0" borderId="28" xfId="0" applyNumberFormat="1" applyFont="1" applyBorder="1" applyAlignment="1">
      <alignment horizontal="left" vertical="center" wrapText="1" indent="1"/>
    </xf>
    <xf numFmtId="164" fontId="5" fillId="0" borderId="26" xfId="0" applyNumberFormat="1" applyFont="1" applyBorder="1" applyAlignment="1">
      <alignment vertical="center" wrapText="1"/>
    </xf>
    <xf numFmtId="2" fontId="5" fillId="0" borderId="18" xfId="0" applyNumberFormat="1" applyFont="1" applyBorder="1" applyAlignment="1">
      <alignment horizontal="left" vertical="center" wrapText="1" indent="1"/>
    </xf>
    <xf numFmtId="9" fontId="5" fillId="0" borderId="18" xfId="2" applyFont="1" applyBorder="1" applyAlignment="1">
      <alignment horizontal="left" vertical="center" wrapText="1" indent="1"/>
    </xf>
    <xf numFmtId="0" fontId="3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2" fontId="23" fillId="0" borderId="35" xfId="0" applyNumberFormat="1" applyFont="1" applyBorder="1" applyAlignment="1">
      <alignment horizontal="left" vertical="center" wrapText="1" indent="1"/>
    </xf>
    <xf numFmtId="2" fontId="26" fillId="0" borderId="35" xfId="0" applyNumberFormat="1" applyFont="1" applyBorder="1" applyAlignment="1">
      <alignment horizontal="center" vertical="center" wrapText="1"/>
    </xf>
    <xf numFmtId="164" fontId="26" fillId="0" borderId="35" xfId="0" applyNumberFormat="1" applyFont="1" applyBorder="1" applyAlignment="1">
      <alignment horizontal="center" vertical="center" wrapText="1"/>
    </xf>
    <xf numFmtId="164" fontId="20" fillId="0" borderId="36" xfId="0" applyNumberFormat="1" applyFont="1" applyBorder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2" fontId="11" fillId="0" borderId="12" xfId="0" applyNumberFormat="1" applyFont="1" applyBorder="1" applyAlignment="1">
      <alignment horizontal="left" vertical="center" wrapText="1" indent="1"/>
    </xf>
    <xf numFmtId="2" fontId="5" fillId="0" borderId="1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3" fontId="34" fillId="0" borderId="13" xfId="3" applyNumberFormat="1" applyFont="1" applyBorder="1" applyAlignment="1">
      <alignment vertical="center" wrapText="1"/>
    </xf>
    <xf numFmtId="0" fontId="34" fillId="0" borderId="11" xfId="3" applyFont="1" applyBorder="1" applyAlignment="1">
      <alignment vertical="center" wrapText="1"/>
    </xf>
    <xf numFmtId="164" fontId="20" fillId="0" borderId="12" xfId="0" applyNumberFormat="1" applyFont="1" applyBorder="1" applyAlignment="1">
      <alignment horizontal="center" vertical="center" wrapText="1"/>
    </xf>
    <xf numFmtId="0" fontId="34" fillId="0" borderId="9" xfId="3" applyFont="1" applyBorder="1" applyAlignment="1">
      <alignment vertical="center" wrapText="1"/>
    </xf>
    <xf numFmtId="164" fontId="28" fillId="0" borderId="22" xfId="0" applyNumberFormat="1" applyFont="1" applyBorder="1" applyAlignment="1">
      <alignment vertical="center"/>
    </xf>
    <xf numFmtId="0" fontId="56" fillId="0" borderId="18" xfId="0" applyFont="1" applyBorder="1" applyAlignment="1">
      <alignment horizontal="left" vertical="center" wrapText="1" indent="2"/>
    </xf>
    <xf numFmtId="0" fontId="4" fillId="0" borderId="18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left" vertical="center" wrapText="1" indent="3"/>
    </xf>
    <xf numFmtId="10" fontId="20" fillId="0" borderId="18" xfId="2" applyNumberFormat="1" applyFont="1" applyBorder="1" applyAlignment="1">
      <alignment horizontal="center" vertical="center" wrapText="1"/>
    </xf>
    <xf numFmtId="0" fontId="20" fillId="0" borderId="28" xfId="0" applyFont="1" applyBorder="1" applyAlignment="1">
      <alignment horizontal="left" vertical="center" wrapText="1" indent="3"/>
    </xf>
    <xf numFmtId="0" fontId="33" fillId="0" borderId="18" xfId="0" applyFont="1" applyBorder="1" applyAlignment="1">
      <alignment horizontal="left" vertical="center" wrapText="1" indent="7"/>
    </xf>
    <xf numFmtId="0" fontId="49" fillId="0" borderId="18" xfId="0" applyFont="1" applyBorder="1" applyAlignment="1">
      <alignment horizontal="left" vertical="center" wrapText="1" indent="5"/>
    </xf>
    <xf numFmtId="0" fontId="4" fillId="17" borderId="18" xfId="0" applyFont="1" applyFill="1" applyBorder="1" applyAlignment="1">
      <alignment horizontal="left" vertical="center" wrapText="1" indent="7"/>
    </xf>
    <xf numFmtId="0" fontId="57" fillId="0" borderId="18" xfId="0" applyFont="1" applyBorder="1" applyAlignment="1">
      <alignment horizontal="left" vertical="center" wrapText="1" indent="8"/>
    </xf>
    <xf numFmtId="0" fontId="57" fillId="0" borderId="35" xfId="0" applyFont="1" applyBorder="1" applyAlignment="1">
      <alignment horizontal="left" vertical="center" wrapText="1" indent="8"/>
    </xf>
    <xf numFmtId="0" fontId="58" fillId="0" borderId="18" xfId="0" applyFont="1" applyBorder="1" applyAlignment="1">
      <alignment horizontal="left" vertical="center" wrapText="1" indent="2"/>
    </xf>
    <xf numFmtId="0" fontId="26" fillId="0" borderId="15" xfId="0" applyFont="1" applyBorder="1" applyAlignment="1">
      <alignment horizontal="center" vertical="center" wrapText="1"/>
    </xf>
    <xf numFmtId="2" fontId="23" fillId="0" borderId="15" xfId="0" applyNumberFormat="1" applyFont="1" applyBorder="1" applyAlignment="1">
      <alignment horizontal="left" vertical="center" wrapText="1" indent="1"/>
    </xf>
    <xf numFmtId="2" fontId="26" fillId="0" borderId="15" xfId="0" applyNumberFormat="1" applyFont="1" applyBorder="1" applyAlignment="1">
      <alignment horizontal="center" vertical="center" wrapText="1"/>
    </xf>
    <xf numFmtId="164" fontId="26" fillId="0" borderId="15" xfId="0" applyNumberFormat="1" applyFont="1" applyBorder="1" applyAlignment="1">
      <alignment horizontal="center" vertical="center" wrapText="1"/>
    </xf>
    <xf numFmtId="164" fontId="20" fillId="0" borderId="16" xfId="0" applyNumberFormat="1" applyFont="1" applyBorder="1" applyAlignment="1">
      <alignment vertical="center"/>
    </xf>
    <xf numFmtId="0" fontId="20" fillId="0" borderId="14" xfId="3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 wrapText="1" indent="2"/>
    </xf>
    <xf numFmtId="0" fontId="20" fillId="0" borderId="15" xfId="0" applyFont="1" applyBorder="1" applyAlignment="1">
      <alignment horizontal="left" vertical="center" wrapText="1" indent="1"/>
    </xf>
    <xf numFmtId="2" fontId="5" fillId="0" borderId="15" xfId="0" applyNumberFormat="1" applyFont="1" applyBorder="1" applyAlignment="1">
      <alignment horizontal="left" vertical="center" wrapText="1" indent="1"/>
    </xf>
    <xf numFmtId="2" fontId="6" fillId="0" borderId="15" xfId="0" applyNumberFormat="1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164" fontId="5" fillId="0" borderId="16" xfId="0" applyNumberFormat="1" applyFont="1" applyBorder="1" applyAlignment="1">
      <alignment vertical="center" wrapText="1"/>
    </xf>
    <xf numFmtId="0" fontId="49" fillId="0" borderId="18" xfId="0" applyFont="1" applyBorder="1" applyAlignment="1">
      <alignment horizontal="left" vertical="center" wrapText="1" indent="6"/>
    </xf>
    <xf numFmtId="0" fontId="33" fillId="0" borderId="18" xfId="0" applyFont="1" applyBorder="1" applyAlignment="1">
      <alignment horizontal="left" vertical="center" wrapText="1" indent="8"/>
    </xf>
    <xf numFmtId="0" fontId="4" fillId="17" borderId="18" xfId="0" applyFont="1" applyFill="1" applyBorder="1" applyAlignment="1">
      <alignment horizontal="left" vertical="center" wrapText="1" indent="8"/>
    </xf>
    <xf numFmtId="0" fontId="57" fillId="0" borderId="18" xfId="0" applyFont="1" applyBorder="1" applyAlignment="1">
      <alignment horizontal="left" vertical="center" wrapText="1" indent="9"/>
    </xf>
    <xf numFmtId="0" fontId="57" fillId="0" borderId="35" xfId="0" applyFont="1" applyBorder="1" applyAlignment="1">
      <alignment horizontal="left" vertical="center" wrapText="1" indent="9"/>
    </xf>
    <xf numFmtId="0" fontId="57" fillId="0" borderId="0" xfId="0" applyFont="1" applyBorder="1" applyAlignment="1">
      <alignment horizontal="left" vertical="center" wrapText="1" indent="9"/>
    </xf>
    <xf numFmtId="0" fontId="36" fillId="0" borderId="1" xfId="3" applyFont="1" applyBorder="1" applyAlignment="1">
      <alignment vertical="center" wrapText="1"/>
    </xf>
    <xf numFmtId="3" fontId="36" fillId="0" borderId="3" xfId="3" applyNumberFormat="1" applyFont="1" applyBorder="1" applyAlignment="1">
      <alignment vertical="center" wrapText="1"/>
    </xf>
    <xf numFmtId="0" fontId="57" fillId="0" borderId="17" xfId="0" applyFont="1" applyBorder="1" applyAlignment="1">
      <alignment horizontal="center" vertical="center" wrapText="1"/>
    </xf>
    <xf numFmtId="0" fontId="57" fillId="0" borderId="18" xfId="0" applyFont="1" applyBorder="1" applyAlignment="1">
      <alignment horizontal="left" vertical="center" wrapText="1"/>
    </xf>
    <xf numFmtId="0" fontId="57" fillId="0" borderId="18" xfId="0" applyFont="1" applyBorder="1" applyAlignment="1">
      <alignment horizontal="center" vertical="center" wrapText="1"/>
    </xf>
    <xf numFmtId="2" fontId="3" fillId="0" borderId="18" xfId="1" applyNumberFormat="1" applyFont="1" applyBorder="1" applyAlignment="1">
      <alignment horizontal="center" vertical="center" wrapText="1"/>
    </xf>
    <xf numFmtId="164" fontId="3" fillId="0" borderId="18" xfId="1" applyNumberFormat="1" applyFont="1" applyBorder="1" applyAlignment="1">
      <alignment horizontal="center" vertical="center" wrapText="1"/>
    </xf>
    <xf numFmtId="164" fontId="3" fillId="0" borderId="19" xfId="0" applyNumberFormat="1" applyFont="1" applyBorder="1" applyAlignment="1">
      <alignment vertical="center"/>
    </xf>
    <xf numFmtId="0" fontId="35" fillId="0" borderId="15" xfId="0" applyFont="1" applyBorder="1" applyAlignment="1">
      <alignment horizontal="left" vertical="center" wrapText="1" indent="2"/>
    </xf>
    <xf numFmtId="0" fontId="35" fillId="0" borderId="15" xfId="0" applyFont="1" applyBorder="1" applyAlignment="1">
      <alignment horizontal="center" vertical="center"/>
    </xf>
    <xf numFmtId="164" fontId="35" fillId="0" borderId="15" xfId="0" applyNumberFormat="1" applyFont="1" applyBorder="1" applyAlignment="1">
      <alignment vertical="center"/>
    </xf>
    <xf numFmtId="2" fontId="28" fillId="0" borderId="18" xfId="1" applyNumberFormat="1" applyFont="1" applyBorder="1" applyAlignment="1">
      <alignment horizontal="center" vertical="center" wrapText="1"/>
    </xf>
    <xf numFmtId="2" fontId="28" fillId="0" borderId="18" xfId="0" applyNumberFormat="1" applyFont="1" applyBorder="1" applyAlignment="1">
      <alignment horizontal="center" vertical="center" wrapText="1"/>
    </xf>
    <xf numFmtId="0" fontId="61" fillId="0" borderId="18" xfId="0" applyFont="1" applyBorder="1" applyAlignment="1">
      <alignment horizontal="left" vertical="center" wrapText="1"/>
    </xf>
    <xf numFmtId="0" fontId="61" fillId="0" borderId="18" xfId="0" applyFont="1" applyBorder="1" applyAlignment="1">
      <alignment horizontal="center" vertical="center" wrapText="1"/>
    </xf>
    <xf numFmtId="2" fontId="33" fillId="0" borderId="0" xfId="0" applyNumberFormat="1" applyFont="1" applyAlignment="1">
      <alignment vertical="center"/>
    </xf>
    <xf numFmtId="171" fontId="33" fillId="11" borderId="0" xfId="0" applyNumberFormat="1" applyFont="1" applyFill="1" applyAlignment="1">
      <alignment vertical="center" wrapText="1"/>
    </xf>
    <xf numFmtId="0" fontId="2" fillId="0" borderId="18" xfId="0" applyFont="1" applyBorder="1" applyAlignment="1">
      <alignment vertical="center" wrapText="1"/>
    </xf>
    <xf numFmtId="2" fontId="3" fillId="0" borderId="18" xfId="1" applyNumberFormat="1" applyFont="1" applyFill="1" applyBorder="1" applyAlignment="1">
      <alignment horizontal="center" vertical="center" wrapText="1"/>
    </xf>
    <xf numFmtId="164" fontId="3" fillId="0" borderId="18" xfId="1" applyNumberFormat="1" applyFont="1" applyFill="1" applyBorder="1" applyAlignment="1">
      <alignment horizontal="center" vertical="center" wrapText="1"/>
    </xf>
    <xf numFmtId="164" fontId="3" fillId="0" borderId="19" xfId="0" applyNumberFormat="1" applyFont="1" applyFill="1" applyBorder="1" applyAlignment="1">
      <alignment vertical="center"/>
    </xf>
    <xf numFmtId="2" fontId="33" fillId="0" borderId="0" xfId="0" applyNumberFormat="1" applyFont="1" applyFill="1" applyAlignment="1">
      <alignment vertical="center" wrapText="1"/>
    </xf>
    <xf numFmtId="0" fontId="57" fillId="0" borderId="18" xfId="0" applyFont="1" applyBorder="1" applyAlignment="1">
      <alignment horizontal="left" vertical="center" wrapText="1" indent="2"/>
    </xf>
    <xf numFmtId="10" fontId="3" fillId="0" borderId="18" xfId="2" applyNumberFormat="1" applyFont="1" applyBorder="1" applyAlignment="1">
      <alignment horizontal="center" vertical="center" wrapText="1"/>
    </xf>
    <xf numFmtId="0" fontId="30" fillId="18" borderId="17" xfId="0" applyFont="1" applyFill="1" applyBorder="1" applyAlignment="1">
      <alignment horizontal="left" vertical="center" wrapText="1" indent="2"/>
    </xf>
    <xf numFmtId="0" fontId="34" fillId="18" borderId="17" xfId="0" applyFont="1" applyFill="1" applyBorder="1" applyAlignment="1">
      <alignment horizontal="center" vertical="center" wrapText="1"/>
    </xf>
    <xf numFmtId="0" fontId="5" fillId="18" borderId="17" xfId="0" applyFont="1" applyFill="1" applyBorder="1" applyAlignment="1">
      <alignment horizontal="center" vertical="center"/>
    </xf>
    <xf numFmtId="0" fontId="11" fillId="18" borderId="17" xfId="0" applyFont="1" applyFill="1" applyBorder="1" applyAlignment="1">
      <alignment horizontal="left" vertical="center" indent="2"/>
    </xf>
    <xf numFmtId="0" fontId="35" fillId="18" borderId="14" xfId="0" applyFont="1" applyFill="1" applyBorder="1" applyAlignment="1">
      <alignment horizontal="left" vertical="center" wrapText="1" indent="2"/>
    </xf>
    <xf numFmtId="0" fontId="30" fillId="18" borderId="14" xfId="0" applyFont="1" applyFill="1" applyBorder="1" applyAlignment="1">
      <alignment horizontal="left" vertical="center" wrapText="1" indent="2"/>
    </xf>
    <xf numFmtId="0" fontId="57" fillId="17" borderId="17" xfId="0" applyFont="1" applyFill="1" applyBorder="1" applyAlignment="1">
      <alignment horizontal="center" vertical="center" wrapText="1"/>
    </xf>
    <xf numFmtId="0" fontId="57" fillId="0" borderId="18" xfId="0" applyFont="1" applyFill="1" applyBorder="1" applyAlignment="1">
      <alignment horizontal="left" vertical="center" wrapText="1"/>
    </xf>
    <xf numFmtId="0" fontId="57" fillId="0" borderId="18" xfId="0" applyFont="1" applyFill="1" applyBorder="1" applyAlignment="1">
      <alignment horizontal="center" vertical="center" wrapText="1"/>
    </xf>
    <xf numFmtId="2" fontId="6" fillId="0" borderId="18" xfId="0" applyNumberFormat="1" applyFont="1" applyFill="1" applyBorder="1" applyAlignment="1">
      <alignment horizontal="center" vertical="center" wrapText="1"/>
    </xf>
    <xf numFmtId="0" fontId="57" fillId="9" borderId="17" xfId="0" applyFont="1" applyFill="1" applyBorder="1" applyAlignment="1">
      <alignment horizontal="center" vertical="center" wrapText="1"/>
    </xf>
    <xf numFmtId="0" fontId="57" fillId="20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vertical="center"/>
    </xf>
    <xf numFmtId="0" fontId="2" fillId="18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 indent="2"/>
    </xf>
    <xf numFmtId="0" fontId="2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0" fillId="17" borderId="17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 indent="1"/>
    </xf>
    <xf numFmtId="0" fontId="2" fillId="0" borderId="18" xfId="0" applyFont="1" applyBorder="1" applyAlignment="1">
      <alignment horizontal="left" vertical="center" wrapText="1" indent="1"/>
    </xf>
    <xf numFmtId="164" fontId="2" fillId="0" borderId="19" xfId="0" applyNumberFormat="1" applyFont="1" applyBorder="1" applyAlignment="1">
      <alignment vertical="center"/>
    </xf>
    <xf numFmtId="164" fontId="2" fillId="0" borderId="16" xfId="0" applyNumberFormat="1" applyFont="1" applyBorder="1" applyAlignment="1">
      <alignment vertical="center"/>
    </xf>
    <xf numFmtId="164" fontId="2" fillId="7" borderId="19" xfId="0" applyNumberFormat="1" applyFont="1" applyFill="1" applyBorder="1" applyAlignment="1">
      <alignment vertical="center"/>
    </xf>
    <xf numFmtId="164" fontId="27" fillId="0" borderId="16" xfId="0" applyNumberFormat="1" applyFont="1" applyBorder="1" applyAlignment="1">
      <alignment vertical="center"/>
    </xf>
    <xf numFmtId="164" fontId="2" fillId="0" borderId="36" xfId="0" applyNumberFormat="1" applyFont="1" applyBorder="1" applyAlignment="1">
      <alignment vertical="center"/>
    </xf>
    <xf numFmtId="164" fontId="2" fillId="11" borderId="19" xfId="0" applyNumberFormat="1" applyFont="1" applyFill="1" applyBorder="1" applyAlignment="1">
      <alignment vertical="center"/>
    </xf>
    <xf numFmtId="0" fontId="20" fillId="9" borderId="17" xfId="0" applyFont="1" applyFill="1" applyBorder="1" applyAlignment="1">
      <alignment horizontal="center" vertical="center" wrapText="1"/>
    </xf>
    <xf numFmtId="0" fontId="58" fillId="0" borderId="28" xfId="0" applyFont="1" applyBorder="1" applyAlignment="1">
      <alignment horizontal="left" vertical="center" wrapText="1" indent="2"/>
    </xf>
    <xf numFmtId="2" fontId="6" fillId="0" borderId="28" xfId="0" applyNumberFormat="1" applyFont="1" applyBorder="1" applyAlignment="1">
      <alignment horizontal="center" vertical="center" wrapText="1"/>
    </xf>
    <xf numFmtId="164" fontId="6" fillId="0" borderId="28" xfId="0" applyNumberFormat="1" applyFont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164" fontId="5" fillId="0" borderId="19" xfId="0" applyNumberFormat="1" applyFont="1" applyBorder="1" applyAlignment="1">
      <alignment vertical="center" wrapText="1"/>
    </xf>
    <xf numFmtId="0" fontId="20" fillId="0" borderId="63" xfId="3" applyFont="1" applyBorder="1" applyAlignment="1">
      <alignment horizontal="center" vertical="center" wrapText="1"/>
    </xf>
    <xf numFmtId="0" fontId="20" fillId="0" borderId="64" xfId="0" applyFont="1" applyBorder="1" applyAlignment="1">
      <alignment horizontal="left" vertical="center" wrapText="1" indent="3"/>
    </xf>
    <xf numFmtId="0" fontId="20" fillId="0" borderId="64" xfId="0" applyFont="1" applyBorder="1" applyAlignment="1">
      <alignment horizontal="left" vertical="center" wrapText="1" indent="1"/>
    </xf>
    <xf numFmtId="2" fontId="5" fillId="0" borderId="64" xfId="0" applyNumberFormat="1" applyFont="1" applyBorder="1" applyAlignment="1">
      <alignment horizontal="left" vertical="center" wrapText="1" indent="1"/>
    </xf>
    <xf numFmtId="2" fontId="6" fillId="0" borderId="64" xfId="0" applyNumberFormat="1" applyFont="1" applyBorder="1" applyAlignment="1">
      <alignment horizontal="center" vertical="center" wrapText="1"/>
    </xf>
    <xf numFmtId="164" fontId="6" fillId="0" borderId="64" xfId="0" applyNumberFormat="1" applyFont="1" applyBorder="1" applyAlignment="1">
      <alignment horizontal="center" vertical="center" wrapText="1"/>
    </xf>
    <xf numFmtId="164" fontId="5" fillId="0" borderId="65" xfId="0" applyNumberFormat="1" applyFont="1" applyBorder="1" applyAlignment="1">
      <alignment vertical="center" wrapText="1"/>
    </xf>
    <xf numFmtId="0" fontId="34" fillId="0" borderId="66" xfId="3" applyFont="1" applyBorder="1" applyAlignment="1">
      <alignment vertical="center" wrapText="1"/>
    </xf>
    <xf numFmtId="0" fontId="34" fillId="0" borderId="30" xfId="3" applyFont="1" applyBorder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2" fontId="11" fillId="0" borderId="30" xfId="0" applyNumberFormat="1" applyFont="1" applyBorder="1" applyAlignment="1">
      <alignment horizontal="left" vertical="center" wrapText="1" indent="1"/>
    </xf>
    <xf numFmtId="2" fontId="5" fillId="0" borderId="30" xfId="0" applyNumberFormat="1" applyFont="1" applyBorder="1" applyAlignment="1">
      <alignment horizontal="center" vertical="center" wrapText="1"/>
    </xf>
    <xf numFmtId="164" fontId="20" fillId="0" borderId="67" xfId="0" applyNumberFormat="1" applyFont="1" applyBorder="1" applyAlignment="1">
      <alignment horizontal="center" vertical="center" wrapText="1"/>
    </xf>
    <xf numFmtId="0" fontId="34" fillId="9" borderId="11" xfId="3" applyFont="1" applyFill="1" applyBorder="1" applyAlignment="1">
      <alignment vertical="center" wrapText="1"/>
    </xf>
    <xf numFmtId="164" fontId="26" fillId="0" borderId="19" xfId="0" applyNumberFormat="1" applyFont="1" applyBorder="1" applyAlignment="1">
      <alignment horizontal="center" vertical="center"/>
    </xf>
    <xf numFmtId="0" fontId="28" fillId="9" borderId="17" xfId="0" applyFont="1" applyFill="1" applyBorder="1" applyAlignment="1">
      <alignment horizontal="center" vertical="center" wrapText="1"/>
    </xf>
    <xf numFmtId="0" fontId="36" fillId="9" borderId="17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26" fillId="9" borderId="17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2" fontId="2" fillId="0" borderId="18" xfId="1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2" fontId="33" fillId="0" borderId="0" xfId="0" applyNumberFormat="1" applyFont="1" applyAlignment="1">
      <alignment vertical="center" wrapText="1"/>
    </xf>
    <xf numFmtId="164" fontId="2" fillId="5" borderId="0" xfId="0" applyNumberFormat="1" applyFont="1" applyFill="1" applyAlignment="1">
      <alignment vertical="center" wrapText="1"/>
    </xf>
    <xf numFmtId="164" fontId="28" fillId="5" borderId="0" xfId="0" applyNumberFormat="1" applyFont="1" applyFill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164" fontId="33" fillId="0" borderId="0" xfId="0" applyNumberFormat="1" applyFont="1" applyAlignment="1">
      <alignment horizontal="left" vertical="center" wrapText="1"/>
    </xf>
    <xf numFmtId="164" fontId="49" fillId="0" borderId="0" xfId="0" applyNumberFormat="1" applyFont="1" applyAlignment="1">
      <alignment horizontal="left" vertical="center" wrapText="1"/>
    </xf>
    <xf numFmtId="0" fontId="33" fillId="0" borderId="0" xfId="0" applyFont="1" applyAlignment="1">
      <alignment horizontal="left" vertical="center" indent="1"/>
    </xf>
    <xf numFmtId="164" fontId="28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/>
    </xf>
    <xf numFmtId="164" fontId="2" fillId="0" borderId="18" xfId="0" applyNumberFormat="1" applyFont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 indent="2"/>
    </xf>
    <xf numFmtId="164" fontId="11" fillId="0" borderId="0" xfId="0" applyNumberFormat="1" applyFont="1" applyBorder="1" applyAlignment="1">
      <alignment horizontal="left" vertical="center" wrapText="1" indent="2"/>
    </xf>
    <xf numFmtId="164" fontId="11" fillId="11" borderId="0" xfId="0" applyNumberFormat="1" applyFont="1" applyFill="1" applyBorder="1" applyAlignment="1">
      <alignment horizontal="left" vertical="center" wrapText="1" indent="2"/>
    </xf>
    <xf numFmtId="0" fontId="2" fillId="0" borderId="60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center" vertical="center" wrapText="1"/>
    </xf>
    <xf numFmtId="174" fontId="36" fillId="0" borderId="0" xfId="2" applyNumberFormat="1" applyFont="1" applyBorder="1" applyAlignment="1">
      <alignment vertical="center" wrapText="1"/>
    </xf>
    <xf numFmtId="174" fontId="28" fillId="0" borderId="0" xfId="1" applyNumberFormat="1" applyFont="1" applyBorder="1" applyAlignment="1">
      <alignment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28" fillId="0" borderId="68" xfId="0" applyFont="1" applyBorder="1" applyAlignment="1">
      <alignment vertical="center"/>
    </xf>
    <xf numFmtId="0" fontId="28" fillId="0" borderId="69" xfId="0" applyFont="1" applyBorder="1" applyAlignment="1">
      <alignment vertical="center"/>
    </xf>
    <xf numFmtId="0" fontId="28" fillId="0" borderId="70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3" fontId="62" fillId="7" borderId="26" xfId="3" applyNumberFormat="1" applyFont="1" applyFill="1" applyBorder="1" applyAlignment="1">
      <alignment vertical="center" wrapText="1"/>
    </xf>
    <xf numFmtId="3" fontId="62" fillId="7" borderId="19" xfId="3" applyNumberFormat="1" applyFont="1" applyFill="1" applyBorder="1" applyAlignment="1">
      <alignment vertical="center" wrapText="1"/>
    </xf>
    <xf numFmtId="3" fontId="62" fillId="7" borderId="22" xfId="3" applyNumberFormat="1" applyFont="1" applyFill="1" applyBorder="1" applyAlignment="1">
      <alignment vertical="center" wrapText="1"/>
    </xf>
    <xf numFmtId="164" fontId="20" fillId="0" borderId="0" xfId="0" applyNumberFormat="1" applyFont="1" applyBorder="1" applyAlignment="1">
      <alignment vertical="center"/>
    </xf>
    <xf numFmtId="164" fontId="26" fillId="0" borderId="0" xfId="0" applyNumberFormat="1" applyFont="1" applyBorder="1" applyAlignment="1">
      <alignment horizontal="center" vertical="center"/>
    </xf>
    <xf numFmtId="164" fontId="2" fillId="7" borderId="0" xfId="0" applyNumberFormat="1" applyFont="1" applyFill="1" applyBorder="1" applyAlignment="1">
      <alignment vertical="center"/>
    </xf>
    <xf numFmtId="164" fontId="31" fillId="0" borderId="0" xfId="0" applyNumberFormat="1" applyFont="1" applyBorder="1" applyAlignment="1">
      <alignment vertical="center"/>
    </xf>
    <xf numFmtId="0" fontId="28" fillId="3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0" fontId="2" fillId="0" borderId="0" xfId="0" applyNumberFormat="1" applyFont="1" applyAlignment="1">
      <alignment vertical="center" wrapText="1"/>
    </xf>
    <xf numFmtId="10" fontId="2" fillId="0" borderId="0" xfId="2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28" fillId="0" borderId="0" xfId="0" applyNumberFormat="1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164" fontId="20" fillId="0" borderId="0" xfId="0" applyNumberFormat="1" applyFont="1" applyAlignment="1">
      <alignment vertical="center" wrapText="1"/>
    </xf>
    <xf numFmtId="164" fontId="34" fillId="0" borderId="0" xfId="0" applyNumberFormat="1" applyFont="1" applyAlignment="1">
      <alignment vertical="center" wrapText="1"/>
    </xf>
    <xf numFmtId="164" fontId="36" fillId="0" borderId="0" xfId="0" applyNumberFormat="1" applyFont="1" applyAlignment="1">
      <alignment vertical="center" wrapText="1"/>
    </xf>
    <xf numFmtId="164" fontId="26" fillId="0" borderId="0" xfId="0" applyNumberFormat="1" applyFont="1" applyAlignment="1">
      <alignment vertical="center" wrapText="1"/>
    </xf>
    <xf numFmtId="169" fontId="26" fillId="20" borderId="0" xfId="0" applyNumberFormat="1" applyFont="1" applyFill="1" applyAlignment="1">
      <alignment vertical="center"/>
    </xf>
    <xf numFmtId="9" fontId="2" fillId="0" borderId="0" xfId="2" applyFont="1" applyAlignment="1">
      <alignment vertical="center"/>
    </xf>
    <xf numFmtId="0" fontId="19" fillId="6" borderId="0" xfId="0" applyFont="1" applyFill="1" applyAlignment="1">
      <alignment vertical="center"/>
    </xf>
    <xf numFmtId="0" fontId="18" fillId="15" borderId="0" xfId="0" applyFont="1" applyFill="1" applyAlignment="1">
      <alignment vertical="center" wrapText="1"/>
    </xf>
    <xf numFmtId="0" fontId="18" fillId="15" borderId="0" xfId="0" applyFont="1" applyFill="1" applyAlignment="1">
      <alignment vertical="center"/>
    </xf>
    <xf numFmtId="10" fontId="18" fillId="15" borderId="0" xfId="2" applyNumberFormat="1" applyFont="1" applyFill="1" applyAlignment="1">
      <alignment vertical="center"/>
    </xf>
    <xf numFmtId="10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6" fillId="0" borderId="16" xfId="0" applyNumberFormat="1" applyFont="1" applyBorder="1" applyAlignment="1">
      <alignment vertical="center"/>
    </xf>
    <xf numFmtId="0" fontId="2" fillId="17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8" fillId="17" borderId="0" xfId="0" applyFont="1" applyFill="1" applyAlignment="1">
      <alignment vertical="center"/>
    </xf>
    <xf numFmtId="164" fontId="36" fillId="11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2" fontId="28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68" fontId="33" fillId="0" borderId="0" xfId="0" applyNumberFormat="1" applyFont="1" applyBorder="1" applyAlignment="1">
      <alignment vertical="center" wrapText="1"/>
    </xf>
    <xf numFmtId="168" fontId="33" fillId="0" borderId="61" xfId="0" applyNumberFormat="1" applyFont="1" applyBorder="1" applyAlignment="1">
      <alignment vertical="center" wrapText="1"/>
    </xf>
    <xf numFmtId="164" fontId="33" fillId="0" borderId="61" xfId="0" applyNumberFormat="1" applyFont="1" applyBorder="1" applyAlignment="1">
      <alignment vertical="center" wrapText="1"/>
    </xf>
    <xf numFmtId="0" fontId="33" fillId="0" borderId="7" xfId="0" applyFont="1" applyBorder="1" applyAlignment="1">
      <alignment horizontal="right" vertical="center"/>
    </xf>
    <xf numFmtId="168" fontId="33" fillId="0" borderId="38" xfId="0" applyNumberFormat="1" applyFont="1" applyBorder="1" applyAlignment="1">
      <alignment vertical="center" wrapText="1"/>
    </xf>
    <xf numFmtId="164" fontId="2" fillId="19" borderId="0" xfId="0" applyNumberFormat="1" applyFont="1" applyFill="1" applyAlignment="1">
      <alignment vertical="center" wrapText="1"/>
    </xf>
    <xf numFmtId="164" fontId="28" fillId="19" borderId="0" xfId="0" applyNumberFormat="1" applyFont="1" applyFill="1" applyAlignment="1">
      <alignment vertical="center" wrapText="1"/>
    </xf>
    <xf numFmtId="10" fontId="2" fillId="0" borderId="0" xfId="2" applyNumberFormat="1" applyFont="1" applyAlignment="1">
      <alignment vertical="center"/>
    </xf>
    <xf numFmtId="9" fontId="28" fillId="19" borderId="0" xfId="2" applyFont="1" applyFill="1" applyAlignment="1">
      <alignment vertical="center"/>
    </xf>
    <xf numFmtId="10" fontId="19" fillId="6" borderId="0" xfId="2" applyNumberFormat="1" applyFont="1" applyFill="1" applyAlignment="1">
      <alignment vertical="center" wrapText="1"/>
    </xf>
    <xf numFmtId="10" fontId="19" fillId="6" borderId="0" xfId="0" applyNumberFormat="1" applyFont="1" applyFill="1" applyAlignment="1">
      <alignment vertical="center" wrapText="1"/>
    </xf>
    <xf numFmtId="173" fontId="19" fillId="6" borderId="0" xfId="0" applyNumberFormat="1" applyFont="1" applyFill="1" applyAlignment="1">
      <alignment vertical="center" wrapText="1"/>
    </xf>
    <xf numFmtId="172" fontId="18" fillId="16" borderId="0" xfId="2" applyNumberFormat="1" applyFont="1" applyFill="1" applyAlignment="1">
      <alignment vertical="center"/>
    </xf>
    <xf numFmtId="170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horizontal="left" vertical="center" wrapText="1"/>
    </xf>
    <xf numFmtId="168" fontId="20" fillId="0" borderId="0" xfId="0" applyNumberFormat="1" applyFont="1" applyAlignment="1">
      <alignment horizontal="left" vertical="center" wrapText="1"/>
    </xf>
    <xf numFmtId="9" fontId="26" fillId="0" borderId="0" xfId="2" applyFont="1" applyAlignment="1">
      <alignment vertical="center" wrapText="1"/>
    </xf>
    <xf numFmtId="168" fontId="2" fillId="0" borderId="0" xfId="0" applyNumberFormat="1" applyFont="1" applyAlignment="1">
      <alignment vertical="center" wrapText="1"/>
    </xf>
    <xf numFmtId="9" fontId="36" fillId="0" borderId="0" xfId="2" applyFont="1" applyAlignment="1">
      <alignment vertical="center" wrapText="1"/>
    </xf>
    <xf numFmtId="164" fontId="26" fillId="0" borderId="0" xfId="0" applyNumberFormat="1" applyFont="1" applyAlignment="1">
      <alignment vertical="center"/>
    </xf>
    <xf numFmtId="164" fontId="2" fillId="0" borderId="29" xfId="0" applyNumberFormat="1" applyFont="1" applyBorder="1" applyAlignment="1">
      <alignment vertical="center" wrapText="1"/>
    </xf>
    <xf numFmtId="164" fontId="2" fillId="0" borderId="30" xfId="0" applyNumberFormat="1" applyFont="1" applyBorder="1" applyAlignment="1">
      <alignment vertical="center" wrapText="1"/>
    </xf>
    <xf numFmtId="164" fontId="28" fillId="0" borderId="30" xfId="0" applyNumberFormat="1" applyFont="1" applyBorder="1" applyAlignment="1">
      <alignment vertical="center" wrapText="1"/>
    </xf>
    <xf numFmtId="164" fontId="2" fillId="0" borderId="31" xfId="0" applyNumberFormat="1" applyFont="1" applyBorder="1" applyAlignment="1">
      <alignment vertical="center" wrapText="1"/>
    </xf>
    <xf numFmtId="164" fontId="2" fillId="0" borderId="60" xfId="0" applyNumberFormat="1" applyFont="1" applyBorder="1" applyAlignment="1">
      <alignment vertical="center" wrapText="1"/>
    </xf>
    <xf numFmtId="164" fontId="28" fillId="0" borderId="0" xfId="0" applyNumberFormat="1" applyFont="1" applyBorder="1" applyAlignment="1">
      <alignment vertical="center" wrapText="1"/>
    </xf>
    <xf numFmtId="164" fontId="26" fillId="0" borderId="0" xfId="0" applyNumberFormat="1" applyFont="1" applyBorder="1" applyAlignment="1">
      <alignment vertical="center" wrapText="1"/>
    </xf>
    <xf numFmtId="164" fontId="2" fillId="0" borderId="61" xfId="0" applyNumberFormat="1" applyFon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164" fontId="28" fillId="0" borderId="60" xfId="0" applyNumberFormat="1" applyFont="1" applyBorder="1" applyAlignment="1">
      <alignment vertical="center" wrapText="1"/>
    </xf>
    <xf numFmtId="164" fontId="28" fillId="0" borderId="61" xfId="0" applyNumberFormat="1" applyFont="1" applyBorder="1" applyAlignment="1">
      <alignment vertical="center" wrapText="1"/>
    </xf>
    <xf numFmtId="164" fontId="2" fillId="0" borderId="37" xfId="0" applyNumberFormat="1" applyFont="1" applyBorder="1" applyAlignment="1">
      <alignment vertical="center" wrapText="1"/>
    </xf>
    <xf numFmtId="164" fontId="2" fillId="0" borderId="7" xfId="0" applyNumberFormat="1" applyFont="1" applyBorder="1" applyAlignment="1">
      <alignment vertical="center" wrapText="1"/>
    </xf>
    <xf numFmtId="165" fontId="28" fillId="0" borderId="7" xfId="1" applyNumberFormat="1" applyFont="1" applyBorder="1" applyAlignment="1">
      <alignment vertical="center" wrapText="1"/>
    </xf>
    <xf numFmtId="164" fontId="2" fillId="0" borderId="38" xfId="0" applyNumberFormat="1" applyFont="1" applyBorder="1" applyAlignment="1">
      <alignment vertical="center" wrapText="1"/>
    </xf>
    <xf numFmtId="165" fontId="28" fillId="0" borderId="0" xfId="1" applyNumberFormat="1" applyFont="1" applyAlignment="1">
      <alignment vertical="center" wrapText="1"/>
    </xf>
    <xf numFmtId="43" fontId="2" fillId="0" borderId="0" xfId="1" applyFont="1" applyAlignment="1">
      <alignment vertical="center" wrapText="1"/>
    </xf>
    <xf numFmtId="164" fontId="2" fillId="11" borderId="0" xfId="0" applyNumberFormat="1" applyFont="1" applyFill="1" applyAlignment="1">
      <alignment vertical="center" wrapText="1"/>
    </xf>
    <xf numFmtId="164" fontId="28" fillId="0" borderId="29" xfId="0" applyNumberFormat="1" applyFont="1" applyBorder="1" applyAlignment="1">
      <alignment vertical="center" wrapText="1"/>
    </xf>
    <xf numFmtId="10" fontId="28" fillId="0" borderId="30" xfId="2" applyNumberFormat="1" applyFont="1" applyBorder="1" applyAlignment="1">
      <alignment vertical="center" wrapText="1"/>
    </xf>
    <xf numFmtId="10" fontId="28" fillId="0" borderId="31" xfId="2" applyNumberFormat="1" applyFont="1" applyBorder="1" applyAlignment="1">
      <alignment vertical="center" wrapText="1"/>
    </xf>
    <xf numFmtId="171" fontId="28" fillId="0" borderId="60" xfId="0" applyNumberFormat="1" applyFont="1" applyBorder="1" applyAlignment="1">
      <alignment vertical="center" wrapText="1"/>
    </xf>
    <xf numFmtId="171" fontId="28" fillId="0" borderId="0" xfId="0" applyNumberFormat="1" applyFont="1" applyBorder="1" applyAlignment="1">
      <alignment vertical="center" wrapText="1"/>
    </xf>
    <xf numFmtId="164" fontId="28" fillId="0" borderId="37" xfId="0" applyNumberFormat="1" applyFont="1" applyBorder="1" applyAlignment="1">
      <alignment vertical="center" wrapText="1"/>
    </xf>
    <xf numFmtId="164" fontId="28" fillId="0" borderId="7" xfId="0" applyNumberFormat="1" applyFont="1" applyBorder="1" applyAlignment="1">
      <alignment vertical="center" wrapText="1"/>
    </xf>
    <xf numFmtId="10" fontId="28" fillId="0" borderId="7" xfId="2" applyNumberFormat="1" applyFont="1" applyBorder="1" applyAlignment="1">
      <alignment vertical="center" wrapText="1"/>
    </xf>
    <xf numFmtId="10" fontId="28" fillId="0" borderId="38" xfId="2" applyNumberFormat="1" applyFont="1" applyBorder="1" applyAlignment="1">
      <alignment vertical="center" wrapText="1"/>
    </xf>
    <xf numFmtId="0" fontId="65" fillId="0" borderId="0" xfId="3" applyFont="1" applyAlignment="1">
      <alignment vertical="center"/>
    </xf>
    <xf numFmtId="0" fontId="65" fillId="0" borderId="0" xfId="3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164" fontId="33" fillId="0" borderId="0" xfId="0" applyNumberFormat="1" applyFont="1" applyBorder="1" applyAlignment="1">
      <alignment vertical="center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Border="1" applyAlignment="1">
      <alignment vertical="center"/>
    </xf>
    <xf numFmtId="164" fontId="28" fillId="0" borderId="61" xfId="0" applyNumberFormat="1" applyFont="1" applyBorder="1" applyAlignment="1">
      <alignment vertical="center"/>
    </xf>
    <xf numFmtId="0" fontId="49" fillId="0" borderId="0" xfId="0" applyFont="1" applyAlignment="1">
      <alignment vertical="center" wrapText="1"/>
    </xf>
    <xf numFmtId="0" fontId="33" fillId="0" borderId="60" xfId="0" applyFont="1" applyBorder="1" applyAlignment="1">
      <alignment vertical="center" wrapText="1"/>
    </xf>
    <xf numFmtId="0" fontId="33" fillId="0" borderId="37" xfId="0" applyFont="1" applyBorder="1" applyAlignment="1">
      <alignment vertical="center"/>
    </xf>
    <xf numFmtId="168" fontId="49" fillId="0" borderId="0" xfId="0" applyNumberFormat="1" applyFont="1" applyAlignment="1">
      <alignment vertical="center" wrapText="1"/>
    </xf>
    <xf numFmtId="2" fontId="50" fillId="0" borderId="0" xfId="0" applyNumberFormat="1" applyFont="1" applyAlignment="1">
      <alignment vertical="center" wrapText="1"/>
    </xf>
    <xf numFmtId="0" fontId="26" fillId="0" borderId="0" xfId="0" applyFont="1" applyAlignment="1">
      <alignment horizontal="right" vertical="center" wrapText="1"/>
    </xf>
    <xf numFmtId="2" fontId="26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3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66" fillId="0" borderId="0" xfId="0" applyFont="1" applyAlignment="1">
      <alignment vertical="center" wrapText="1"/>
    </xf>
    <xf numFmtId="0" fontId="67" fillId="0" borderId="0" xfId="3" applyFont="1" applyAlignment="1">
      <alignment vertical="center"/>
    </xf>
    <xf numFmtId="0" fontId="66" fillId="3" borderId="5" xfId="0" applyFont="1" applyFill="1" applyBorder="1" applyAlignment="1">
      <alignment horizontal="center" vertical="center"/>
    </xf>
    <xf numFmtId="2" fontId="66" fillId="2" borderId="5" xfId="0" applyNumberFormat="1" applyFont="1" applyFill="1" applyBorder="1" applyAlignment="1">
      <alignment horizontal="center" vertical="center"/>
    </xf>
    <xf numFmtId="0" fontId="66" fillId="3" borderId="6" xfId="0" applyFont="1" applyFill="1" applyBorder="1" applyAlignment="1">
      <alignment horizontal="center" vertical="center" wrapText="1"/>
    </xf>
    <xf numFmtId="0" fontId="66" fillId="0" borderId="17" xfId="0" applyFont="1" applyBorder="1" applyAlignment="1">
      <alignment horizontal="center" vertical="center" wrapText="1"/>
    </xf>
    <xf numFmtId="0" fontId="66" fillId="0" borderId="18" xfId="0" applyFont="1" applyBorder="1" applyAlignment="1">
      <alignment vertical="center" wrapText="1"/>
    </xf>
    <xf numFmtId="0" fontId="31" fillId="0" borderId="18" xfId="0" applyFont="1" applyBorder="1" applyAlignment="1">
      <alignment horizontal="center" vertical="center" wrapText="1"/>
    </xf>
    <xf numFmtId="2" fontId="25" fillId="0" borderId="18" xfId="0" applyNumberFormat="1" applyFont="1" applyBorder="1" applyAlignment="1">
      <alignment horizontal="left" vertical="center" wrapText="1" indent="1"/>
    </xf>
    <xf numFmtId="2" fontId="31" fillId="0" borderId="18" xfId="0" applyNumberFormat="1" applyFont="1" applyBorder="1" applyAlignment="1">
      <alignment horizontal="center" vertical="center" wrapText="1"/>
    </xf>
    <xf numFmtId="164" fontId="31" fillId="0" borderId="18" xfId="0" applyNumberFormat="1" applyFont="1" applyBorder="1" applyAlignment="1">
      <alignment horizontal="center" vertical="center" wrapText="1"/>
    </xf>
    <xf numFmtId="164" fontId="31" fillId="0" borderId="0" xfId="0" applyNumberFormat="1" applyFont="1" applyAlignment="1">
      <alignment vertical="center" wrapText="1"/>
    </xf>
    <xf numFmtId="164" fontId="66" fillId="0" borderId="0" xfId="0" applyNumberFormat="1" applyFont="1" applyAlignment="1">
      <alignment vertical="center" wrapText="1"/>
    </xf>
    <xf numFmtId="0" fontId="34" fillId="0" borderId="17" xfId="3" applyFont="1" applyBorder="1" applyAlignment="1">
      <alignment horizontal="center" vertical="center" wrapText="1"/>
    </xf>
    <xf numFmtId="0" fontId="34" fillId="0" borderId="18" xfId="3" applyFont="1" applyBorder="1" applyAlignment="1">
      <alignment horizontal="center" vertical="center" wrapText="1"/>
    </xf>
    <xf numFmtId="0" fontId="62" fillId="0" borderId="0" xfId="3" applyFont="1" applyAlignment="1">
      <alignment vertical="center" wrapText="1"/>
    </xf>
    <xf numFmtId="0" fontId="34" fillId="0" borderId="27" xfId="3" applyFont="1" applyBorder="1" applyAlignment="1">
      <alignment horizontal="center" vertical="center" wrapText="1"/>
    </xf>
    <xf numFmtId="0" fontId="34" fillId="0" borderId="28" xfId="3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2" fillId="7" borderId="23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20" fillId="7" borderId="27" xfId="3" applyFont="1" applyFill="1" applyBorder="1" applyAlignment="1">
      <alignment horizontal="center" vertical="center" wrapText="1"/>
    </xf>
    <xf numFmtId="0" fontId="20" fillId="7" borderId="28" xfId="3" applyFont="1" applyFill="1" applyBorder="1" applyAlignment="1">
      <alignment horizontal="center" vertical="center" wrapText="1"/>
    </xf>
    <xf numFmtId="0" fontId="20" fillId="7" borderId="17" xfId="3" applyFont="1" applyFill="1" applyBorder="1" applyAlignment="1">
      <alignment horizontal="center" vertical="center" wrapText="1"/>
    </xf>
    <xf numFmtId="0" fontId="20" fillId="7" borderId="18" xfId="3" applyFont="1" applyFill="1" applyBorder="1" applyAlignment="1">
      <alignment horizontal="center" vertical="center" wrapText="1"/>
    </xf>
    <xf numFmtId="0" fontId="34" fillId="7" borderId="20" xfId="3" applyFont="1" applyFill="1" applyBorder="1" applyAlignment="1">
      <alignment horizontal="center" vertical="center" wrapText="1"/>
    </xf>
    <xf numFmtId="0" fontId="34" fillId="7" borderId="21" xfId="3" applyFont="1" applyFill="1" applyBorder="1" applyAlignment="1">
      <alignment horizontal="center" vertical="center" wrapText="1"/>
    </xf>
    <xf numFmtId="0" fontId="20" fillId="0" borderId="29" xfId="3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59" fillId="0" borderId="8" xfId="3" applyFont="1" applyBorder="1" applyAlignment="1">
      <alignment horizontal="center" vertical="center" wrapText="1"/>
    </xf>
    <xf numFmtId="0" fontId="59" fillId="0" borderId="9" xfId="3" applyFont="1" applyBorder="1" applyAlignment="1">
      <alignment horizontal="center" vertical="center" wrapText="1"/>
    </xf>
    <xf numFmtId="0" fontId="59" fillId="0" borderId="10" xfId="3" applyFont="1" applyBorder="1" applyAlignment="1">
      <alignment horizontal="center" vertical="center" wrapText="1"/>
    </xf>
    <xf numFmtId="0" fontId="36" fillId="0" borderId="32" xfId="3" applyFont="1" applyBorder="1" applyAlignment="1">
      <alignment horizontal="center" vertical="center" wrapText="1"/>
    </xf>
    <xf numFmtId="0" fontId="36" fillId="0" borderId="33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34" fillId="0" borderId="39" xfId="3" applyFont="1" applyBorder="1" applyAlignment="1">
      <alignment horizontal="center" vertical="center" wrapText="1"/>
    </xf>
    <xf numFmtId="0" fontId="34" fillId="0" borderId="40" xfId="3" applyFont="1" applyBorder="1" applyAlignment="1">
      <alignment horizontal="center" vertical="center" wrapText="1"/>
    </xf>
    <xf numFmtId="0" fontId="34" fillId="0" borderId="32" xfId="3" applyFont="1" applyBorder="1" applyAlignment="1">
      <alignment horizontal="left" vertical="center" wrapText="1"/>
    </xf>
    <xf numFmtId="0" fontId="34" fillId="0" borderId="33" xfId="3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164" fontId="28" fillId="0" borderId="7" xfId="0" applyNumberFormat="1" applyFont="1" applyBorder="1" applyAlignment="1">
      <alignment horizontal="center" vertical="center" wrapText="1"/>
    </xf>
    <xf numFmtId="165" fontId="28" fillId="0" borderId="7" xfId="1" applyNumberFormat="1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36" fillId="11" borderId="0" xfId="0" applyFont="1" applyFill="1" applyAlignment="1">
      <alignment horizontal="center" vertical="center"/>
    </xf>
    <xf numFmtId="164" fontId="36" fillId="11" borderId="0" xfId="0" applyNumberFormat="1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28" fillId="11" borderId="60" xfId="0" applyNumberFormat="1" applyFont="1" applyFill="1" applyBorder="1" applyAlignment="1">
      <alignment horizontal="center" vertical="center" wrapText="1"/>
    </xf>
    <xf numFmtId="164" fontId="28" fillId="11" borderId="0" xfId="0" applyNumberFormat="1" applyFont="1" applyFill="1" applyAlignment="1">
      <alignment horizontal="center" vertical="center" wrapText="1"/>
    </xf>
    <xf numFmtId="0" fontId="36" fillId="11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12" borderId="50" xfId="0" applyFont="1" applyFill="1" applyBorder="1" applyAlignment="1">
      <alignment horizontal="center" vertical="center"/>
    </xf>
    <xf numFmtId="0" fontId="28" fillId="12" borderId="51" xfId="0" applyFont="1" applyFill="1" applyBorder="1" applyAlignment="1">
      <alignment horizontal="center" vertical="center"/>
    </xf>
    <xf numFmtId="0" fontId="42" fillId="0" borderId="44" xfId="4" applyFont="1" applyFill="1" applyBorder="1" applyAlignment="1">
      <alignment horizontal="left" vertical="center" wrapText="1"/>
    </xf>
    <xf numFmtId="0" fontId="42" fillId="0" borderId="45" xfId="4" applyFont="1" applyFill="1" applyBorder="1" applyAlignment="1">
      <alignment horizontal="left" vertical="center" wrapText="1"/>
    </xf>
    <xf numFmtId="0" fontId="42" fillId="0" borderId="52" xfId="3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42" fillId="9" borderId="43" xfId="3" applyFont="1" applyFill="1" applyBorder="1" applyAlignment="1">
      <alignment horizontal="center" vertical="center"/>
    </xf>
    <xf numFmtId="0" fontId="42" fillId="0" borderId="44" xfId="3" applyFont="1" applyBorder="1" applyAlignment="1">
      <alignment horizontal="center" vertical="center" wrapText="1"/>
    </xf>
    <xf numFmtId="0" fontId="42" fillId="0" borderId="45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2" fillId="5" borderId="44" xfId="4" applyFont="1" applyFill="1" applyBorder="1" applyAlignment="1">
      <alignment horizontal="left" vertical="center" wrapText="1"/>
    </xf>
    <xf numFmtId="0" fontId="42" fillId="5" borderId="45" xfId="4" applyFont="1" applyFill="1" applyBorder="1" applyAlignment="1">
      <alignment horizontal="left" vertical="center" wrapText="1"/>
    </xf>
    <xf numFmtId="0" fontId="42" fillId="0" borderId="44" xfId="4" applyFont="1" applyBorder="1" applyAlignment="1">
      <alignment horizontal="left" vertical="center" wrapText="1"/>
    </xf>
    <xf numFmtId="0" fontId="42" fillId="0" borderId="45" xfId="4" applyFont="1" applyBorder="1" applyAlignment="1">
      <alignment horizontal="left" vertical="center" wrapText="1"/>
    </xf>
    <xf numFmtId="0" fontId="42" fillId="0" borderId="0" xfId="3" applyFont="1" applyFill="1" applyAlignment="1">
      <alignment horizontal="center" vertical="center"/>
    </xf>
    <xf numFmtId="0" fontId="42" fillId="0" borderId="52" xfId="3" applyFont="1" applyBorder="1" applyAlignment="1">
      <alignment horizontal="center" vertical="center"/>
    </xf>
    <xf numFmtId="0" fontId="42" fillId="11" borderId="0" xfId="3" applyFont="1" applyFill="1" applyAlignment="1">
      <alignment horizontal="center" vertical="center"/>
    </xf>
    <xf numFmtId="0" fontId="33" fillId="0" borderId="11" xfId="0" applyFont="1" applyBorder="1" applyAlignment="1">
      <alignment vertical="center" wrapText="1"/>
    </xf>
    <xf numFmtId="164" fontId="33" fillId="0" borderId="12" xfId="0" applyNumberFormat="1" applyFont="1" applyBorder="1" applyAlignment="1">
      <alignment vertical="center" wrapText="1"/>
    </xf>
    <xf numFmtId="0" fontId="68" fillId="0" borderId="0" xfId="3" applyFont="1" applyAlignment="1">
      <alignment vertical="center"/>
    </xf>
    <xf numFmtId="3" fontId="68" fillId="0" borderId="0" xfId="3" applyNumberFormat="1" applyFont="1" applyAlignment="1">
      <alignment horizontal="center" vertical="center"/>
    </xf>
    <xf numFmtId="3" fontId="63" fillId="0" borderId="0" xfId="3" applyNumberFormat="1" applyFont="1" applyAlignment="1">
      <alignment vertical="center"/>
    </xf>
    <xf numFmtId="0" fontId="63" fillId="0" borderId="0" xfId="3" applyFont="1" applyAlignment="1">
      <alignment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vertical="center" wrapText="1"/>
    </xf>
    <xf numFmtId="0" fontId="64" fillId="0" borderId="0" xfId="3" applyFont="1" applyAlignment="1">
      <alignment vertical="center"/>
    </xf>
    <xf numFmtId="0" fontId="62" fillId="0" borderId="0" xfId="3" applyFont="1" applyAlignment="1">
      <alignment vertical="center"/>
    </xf>
    <xf numFmtId="0" fontId="68" fillId="0" borderId="0" xfId="3" applyFont="1" applyAlignment="1">
      <alignment horizontal="center" vertical="center"/>
    </xf>
    <xf numFmtId="0" fontId="69" fillId="0" borderId="0" xfId="3" applyFont="1" applyAlignment="1">
      <alignment horizontal="center" vertical="center"/>
    </xf>
    <xf numFmtId="3" fontId="62" fillId="0" borderId="0" xfId="3" applyNumberFormat="1" applyFont="1" applyAlignment="1">
      <alignment horizontal="center" vertical="center"/>
    </xf>
    <xf numFmtId="0" fontId="62" fillId="0" borderId="0" xfId="3" applyFont="1" applyAlignment="1">
      <alignment horizontal="center" vertical="center"/>
    </xf>
    <xf numFmtId="0" fontId="59" fillId="7" borderId="71" xfId="3" applyFont="1" applyFill="1" applyBorder="1" applyAlignment="1">
      <alignment horizontal="center" vertical="center" wrapText="1"/>
    </xf>
    <xf numFmtId="0" fontId="59" fillId="7" borderId="10" xfId="3" applyFont="1" applyFill="1" applyBorder="1" applyAlignment="1">
      <alignment horizontal="center" vertical="center" wrapText="1"/>
    </xf>
    <xf numFmtId="3" fontId="59" fillId="7" borderId="10" xfId="3" applyNumberFormat="1" applyFont="1" applyFill="1" applyBorder="1" applyAlignment="1">
      <alignment horizontal="center" vertical="center" wrapText="1"/>
    </xf>
    <xf numFmtId="3" fontId="59" fillId="7" borderId="71" xfId="3" applyNumberFormat="1" applyFont="1" applyFill="1" applyBorder="1" applyAlignment="1">
      <alignment horizontal="center" vertical="center" wrapText="1"/>
    </xf>
    <xf numFmtId="0" fontId="59" fillId="0" borderId="8" xfId="3" applyFont="1" applyBorder="1" applyAlignment="1">
      <alignment horizontal="left" vertical="center" wrapText="1"/>
    </xf>
    <xf numFmtId="0" fontId="59" fillId="0" borderId="9" xfId="3" applyFont="1" applyBorder="1" applyAlignment="1">
      <alignment horizontal="left" vertical="center" wrapText="1"/>
    </xf>
    <xf numFmtId="0" fontId="68" fillId="0" borderId="71" xfId="3" applyFont="1" applyBorder="1" applyAlignment="1">
      <alignment horizontal="center" vertical="center" wrapText="1"/>
    </xf>
    <xf numFmtId="4" fontId="68" fillId="0" borderId="10" xfId="3" applyNumberFormat="1" applyFont="1" applyBorder="1" applyAlignment="1">
      <alignment horizontal="center" vertical="center" wrapText="1"/>
    </xf>
    <xf numFmtId="3" fontId="63" fillId="0" borderId="10" xfId="3" applyNumberFormat="1" applyFont="1" applyBorder="1" applyAlignment="1">
      <alignment horizontal="center" vertical="center" wrapText="1"/>
    </xf>
    <xf numFmtId="3" fontId="68" fillId="0" borderId="71" xfId="3" applyNumberFormat="1" applyFont="1" applyBorder="1" applyAlignment="1">
      <alignment horizontal="center" vertical="center" wrapText="1"/>
    </xf>
    <xf numFmtId="0" fontId="59" fillId="7" borderId="8" xfId="3" quotePrefix="1" applyFont="1" applyFill="1" applyBorder="1" applyAlignment="1">
      <alignment horizontal="left" vertical="center" wrapText="1"/>
    </xf>
    <xf numFmtId="0" fontId="59" fillId="7" borderId="9" xfId="0" applyFont="1" applyFill="1" applyBorder="1" applyAlignment="1">
      <alignment horizontal="left" vertical="center" wrapText="1"/>
    </xf>
    <xf numFmtId="0" fontId="59" fillId="7" borderId="10" xfId="0" applyFont="1" applyFill="1" applyBorder="1" applyAlignment="1">
      <alignment horizontal="left" vertical="center" wrapText="1"/>
    </xf>
    <xf numFmtId="3" fontId="62" fillId="0" borderId="0" xfId="3" applyNumberFormat="1" applyFont="1" applyAlignment="1">
      <alignment horizontal="right" vertical="center"/>
    </xf>
    <xf numFmtId="172" fontId="62" fillId="0" borderId="0" xfId="2" applyNumberFormat="1" applyFont="1" applyAlignment="1">
      <alignment horizontal="right" vertical="center"/>
    </xf>
    <xf numFmtId="169" fontId="63" fillId="0" borderId="0" xfId="3" applyNumberFormat="1" applyFont="1" applyAlignment="1">
      <alignment vertical="center"/>
    </xf>
    <xf numFmtId="0" fontId="68" fillId="0" borderId="60" xfId="3" quotePrefix="1" applyFont="1" applyBorder="1" applyAlignment="1">
      <alignment horizontal="center" vertical="center" wrapText="1"/>
    </xf>
    <xf numFmtId="0" fontId="59" fillId="0" borderId="30" xfId="3" applyFont="1" applyBorder="1" applyAlignment="1">
      <alignment horizontal="center" vertical="center" wrapText="1"/>
    </xf>
    <xf numFmtId="3" fontId="59" fillId="0" borderId="31" xfId="3" applyNumberFormat="1" applyFont="1" applyBorder="1" applyAlignment="1">
      <alignment horizontal="center" vertical="center" wrapText="1"/>
    </xf>
    <xf numFmtId="0" fontId="62" fillId="0" borderId="0" xfId="3" applyFont="1" applyAlignment="1">
      <alignment horizontal="right" vertical="center"/>
    </xf>
    <xf numFmtId="0" fontId="59" fillId="7" borderId="8" xfId="3" applyFont="1" applyFill="1" applyBorder="1" applyAlignment="1">
      <alignment horizontal="left" vertical="center" wrapText="1"/>
    </xf>
    <xf numFmtId="0" fontId="59" fillId="7" borderId="9" xfId="3" applyFont="1" applyFill="1" applyBorder="1" applyAlignment="1">
      <alignment horizontal="left" vertical="center" wrapText="1"/>
    </xf>
    <xf numFmtId="3" fontId="72" fillId="0" borderId="0" xfId="3" applyNumberFormat="1" applyFont="1" applyAlignment="1">
      <alignment horizontal="right" vertical="center"/>
    </xf>
    <xf numFmtId="0" fontId="72" fillId="0" borderId="0" xfId="3" applyFont="1" applyAlignment="1">
      <alignment horizontal="left" vertical="center"/>
    </xf>
    <xf numFmtId="0" fontId="59" fillId="0" borderId="60" xfId="3" applyFont="1" applyBorder="1" applyAlignment="1">
      <alignment horizontal="left" vertical="center" wrapText="1"/>
    </xf>
    <xf numFmtId="0" fontId="59" fillId="0" borderId="0" xfId="3" applyFont="1" applyBorder="1" applyAlignment="1">
      <alignment horizontal="left" vertical="center" wrapText="1"/>
    </xf>
    <xf numFmtId="0" fontId="59" fillId="0" borderId="0" xfId="3" applyFont="1" applyBorder="1" applyAlignment="1">
      <alignment vertical="center" wrapText="1"/>
    </xf>
    <xf numFmtId="0" fontId="59" fillId="0" borderId="0" xfId="3" applyFont="1" applyBorder="1" applyAlignment="1">
      <alignment horizontal="center" vertical="center" wrapText="1"/>
    </xf>
    <xf numFmtId="3" fontId="59" fillId="0" borderId="0" xfId="3" applyNumberFormat="1" applyFont="1" applyBorder="1" applyAlignment="1">
      <alignment horizontal="center" vertical="center" wrapText="1"/>
    </xf>
    <xf numFmtId="3" fontId="59" fillId="0" borderId="61" xfId="3" applyNumberFormat="1" applyFont="1" applyBorder="1" applyAlignment="1">
      <alignment horizontal="center" vertical="center" wrapText="1"/>
    </xf>
    <xf numFmtId="0" fontId="73" fillId="0" borderId="73" xfId="3" applyFont="1" applyBorder="1" applyAlignment="1">
      <alignment horizontal="left" vertical="center" wrapText="1"/>
    </xf>
    <xf numFmtId="0" fontId="73" fillId="0" borderId="42" xfId="3" applyFont="1" applyBorder="1" applyAlignment="1">
      <alignment horizontal="left" vertical="center" wrapText="1"/>
    </xf>
    <xf numFmtId="3" fontId="73" fillId="0" borderId="70" xfId="3" applyNumberFormat="1" applyFont="1" applyBorder="1" applyAlignment="1">
      <alignment horizontal="center" vertical="center" wrapText="1"/>
    </xf>
    <xf numFmtId="0" fontId="73" fillId="0" borderId="60" xfId="3" applyFont="1" applyBorder="1" applyAlignment="1">
      <alignment horizontal="left" vertical="center" wrapText="1"/>
    </xf>
    <xf numFmtId="0" fontId="73" fillId="0" borderId="0" xfId="3" applyFont="1" applyBorder="1" applyAlignment="1">
      <alignment horizontal="left" vertical="center" wrapText="1"/>
    </xf>
    <xf numFmtId="0" fontId="73" fillId="0" borderId="0" xfId="3" applyFont="1" applyBorder="1" applyAlignment="1">
      <alignment vertical="center" wrapText="1"/>
    </xf>
    <xf numFmtId="0" fontId="73" fillId="0" borderId="0" xfId="3" applyFont="1" applyBorder="1" applyAlignment="1">
      <alignment horizontal="center" vertical="center" wrapText="1"/>
    </xf>
    <xf numFmtId="3" fontId="73" fillId="0" borderId="0" xfId="3" applyNumberFormat="1" applyFont="1" applyBorder="1" applyAlignment="1">
      <alignment horizontal="center" vertical="center" wrapText="1"/>
    </xf>
    <xf numFmtId="3" fontId="73" fillId="0" borderId="10" xfId="3" applyNumberFormat="1" applyFont="1" applyBorder="1" applyAlignment="1">
      <alignment horizontal="center" vertical="center" wrapText="1"/>
    </xf>
    <xf numFmtId="0" fontId="73" fillId="0" borderId="74" xfId="3" applyFont="1" applyBorder="1" applyAlignment="1">
      <alignment horizontal="left" vertical="center" wrapText="1"/>
    </xf>
    <xf numFmtId="0" fontId="73" fillId="0" borderId="45" xfId="3" applyFont="1" applyBorder="1" applyAlignment="1">
      <alignment horizontal="left" vertical="center" wrapText="1"/>
    </xf>
    <xf numFmtId="3" fontId="73" fillId="0" borderId="71" xfId="3" applyNumberFormat="1" applyFont="1" applyBorder="1" applyAlignment="1">
      <alignment horizontal="center" vertical="center" wrapText="1"/>
    </xf>
    <xf numFmtId="172" fontId="72" fillId="0" borderId="0" xfId="2" applyNumberFormat="1" applyFont="1" applyAlignment="1">
      <alignment horizontal="right" vertical="center"/>
    </xf>
    <xf numFmtId="0" fontId="68" fillId="0" borderId="42" xfId="3" applyFont="1" applyBorder="1" applyAlignment="1">
      <alignment vertical="center" wrapText="1"/>
    </xf>
    <xf numFmtId="0" fontId="68" fillId="0" borderId="42" xfId="3" applyFont="1" applyBorder="1" applyAlignment="1">
      <alignment horizontal="center" vertical="center" wrapText="1"/>
    </xf>
    <xf numFmtId="3" fontId="68" fillId="0" borderId="72" xfId="3" applyNumberFormat="1" applyFont="1" applyBorder="1" applyAlignment="1">
      <alignment horizontal="center" vertical="center" wrapText="1"/>
    </xf>
    <xf numFmtId="0" fontId="74" fillId="0" borderId="60" xfId="3" applyFont="1" applyBorder="1" applyAlignment="1">
      <alignment horizontal="left" vertical="center" wrapText="1"/>
    </xf>
    <xf numFmtId="0" fontId="74" fillId="0" borderId="0" xfId="3" applyFont="1" applyBorder="1" applyAlignment="1">
      <alignment horizontal="left" vertical="center" wrapText="1"/>
    </xf>
    <xf numFmtId="0" fontId="68" fillId="0" borderId="0" xfId="3" applyFont="1" applyBorder="1" applyAlignment="1">
      <alignment vertical="center" wrapText="1"/>
    </xf>
    <xf numFmtId="0" fontId="68" fillId="0" borderId="0" xfId="3" applyFont="1" applyBorder="1" applyAlignment="1">
      <alignment horizontal="center" vertical="center" wrapText="1"/>
    </xf>
    <xf numFmtId="3" fontId="68" fillId="0" borderId="0" xfId="3" applyNumberFormat="1" applyFont="1" applyBorder="1" applyAlignment="1">
      <alignment horizontal="center" vertical="center" wrapText="1"/>
    </xf>
    <xf numFmtId="0" fontId="68" fillId="0" borderId="45" xfId="3" applyFont="1" applyBorder="1" applyAlignment="1">
      <alignment vertical="center" wrapText="1"/>
    </xf>
    <xf numFmtId="0" fontId="68" fillId="0" borderId="45" xfId="3" applyFont="1" applyBorder="1" applyAlignment="1">
      <alignment horizontal="center" vertical="center" wrapText="1"/>
    </xf>
    <xf numFmtId="3" fontId="68" fillId="0" borderId="75" xfId="3" applyNumberFormat="1" applyFont="1" applyBorder="1" applyAlignment="1">
      <alignment horizontal="center" vertical="center" wrapText="1"/>
    </xf>
    <xf numFmtId="9" fontId="63" fillId="0" borderId="0" xfId="2" applyFont="1" applyAlignment="1">
      <alignment vertical="center"/>
    </xf>
    <xf numFmtId="0" fontId="72" fillId="0" borderId="0" xfId="3" applyFont="1" applyAlignment="1">
      <alignment vertical="center"/>
    </xf>
    <xf numFmtId="0" fontId="70" fillId="0" borderId="0" xfId="0" applyFont="1" applyAlignment="1">
      <alignment vertical="center"/>
    </xf>
    <xf numFmtId="0" fontId="75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59" fillId="21" borderId="0" xfId="0" applyFont="1" applyFill="1" applyAlignment="1">
      <alignment horizontal="left" vertical="center" wrapText="1"/>
    </xf>
    <xf numFmtId="0" fontId="77" fillId="0" borderId="0" xfId="0" applyFont="1" applyAlignment="1">
      <alignment horizontal="center" vertical="center"/>
    </xf>
    <xf numFmtId="0" fontId="59" fillId="0" borderId="0" xfId="3" applyFont="1" applyAlignment="1">
      <alignment vertical="center"/>
    </xf>
    <xf numFmtId="0" fontId="59" fillId="0" borderId="0" xfId="3" applyFont="1" applyAlignment="1">
      <alignment horizontal="center" vertical="center"/>
    </xf>
    <xf numFmtId="3" fontId="59" fillId="0" borderId="0" xfId="3" applyNumberFormat="1" applyFont="1" applyAlignment="1">
      <alignment horizontal="center" vertical="center"/>
    </xf>
    <xf numFmtId="3" fontId="62" fillId="0" borderId="0" xfId="3" applyNumberFormat="1" applyFont="1" applyAlignment="1">
      <alignment vertical="center"/>
    </xf>
    <xf numFmtId="0" fontId="59" fillId="21" borderId="0" xfId="3" applyFont="1" applyFill="1" applyAlignment="1">
      <alignment vertical="center"/>
    </xf>
    <xf numFmtId="0" fontId="59" fillId="21" borderId="0" xfId="3" applyFont="1" applyFill="1" applyAlignment="1">
      <alignment horizontal="center" vertical="center"/>
    </xf>
    <xf numFmtId="3" fontId="59" fillId="21" borderId="0" xfId="3" applyNumberFormat="1" applyFont="1" applyFill="1" applyAlignment="1">
      <alignment horizontal="center" vertical="center"/>
    </xf>
    <xf numFmtId="3" fontId="59" fillId="21" borderId="0" xfId="3" applyNumberFormat="1" applyFont="1" applyFill="1" applyAlignment="1">
      <alignment horizontal="right" vertical="center"/>
    </xf>
    <xf numFmtId="3" fontId="62" fillId="21" borderId="0" xfId="3" applyNumberFormat="1" applyFont="1" applyFill="1" applyAlignment="1">
      <alignment vertical="center"/>
    </xf>
    <xf numFmtId="3" fontId="68" fillId="0" borderId="0" xfId="3" applyNumberFormat="1" applyFont="1" applyAlignment="1">
      <alignment horizontal="right" vertical="center"/>
    </xf>
    <xf numFmtId="0" fontId="68" fillId="21" borderId="0" xfId="3" applyFont="1" applyFill="1" applyAlignment="1">
      <alignment vertical="center"/>
    </xf>
    <xf numFmtId="0" fontId="68" fillId="21" borderId="0" xfId="3" applyFont="1" applyFill="1" applyAlignment="1">
      <alignment horizontal="center" vertical="center"/>
    </xf>
    <xf numFmtId="3" fontId="68" fillId="21" borderId="0" xfId="3" applyNumberFormat="1" applyFont="1" applyFill="1" applyAlignment="1">
      <alignment horizontal="center" vertical="center"/>
    </xf>
    <xf numFmtId="3" fontId="63" fillId="21" borderId="0" xfId="3" applyNumberFormat="1" applyFont="1" applyFill="1" applyAlignment="1">
      <alignment vertical="center"/>
    </xf>
    <xf numFmtId="3" fontId="59" fillId="0" borderId="0" xfId="3" applyNumberFormat="1" applyFont="1" applyAlignment="1">
      <alignment horizontal="right" vertical="center"/>
    </xf>
    <xf numFmtId="0" fontId="59" fillId="0" borderId="0" xfId="3" applyFont="1" applyAlignment="1">
      <alignment horizontal="left" vertical="center"/>
    </xf>
    <xf numFmtId="0" fontId="59" fillId="21" borderId="0" xfId="3" applyFont="1" applyFill="1" applyAlignment="1">
      <alignment horizontal="right" vertical="center"/>
    </xf>
    <xf numFmtId="0" fontId="78" fillId="21" borderId="0" xfId="0" applyFont="1" applyFill="1" applyAlignment="1">
      <alignment horizontal="right" vertical="center"/>
    </xf>
    <xf numFmtId="0" fontId="34" fillId="0" borderId="0" xfId="0" applyFont="1" applyAlignment="1">
      <alignment vertical="center" wrapText="1"/>
    </xf>
    <xf numFmtId="164" fontId="28" fillId="14" borderId="0" xfId="0" applyNumberFormat="1" applyFont="1" applyFill="1" applyBorder="1" applyAlignment="1">
      <alignment vertical="center"/>
    </xf>
    <xf numFmtId="164" fontId="34" fillId="14" borderId="0" xfId="0" applyNumberFormat="1" applyFont="1" applyFill="1" applyAlignment="1">
      <alignment vertical="center" wrapText="1"/>
    </xf>
    <xf numFmtId="164" fontId="28" fillId="14" borderId="0" xfId="0" applyNumberFormat="1" applyFont="1" applyFill="1" applyAlignment="1">
      <alignment vertical="center" wrapText="1"/>
    </xf>
    <xf numFmtId="0" fontId="59" fillId="7" borderId="10" xfId="3" applyFont="1" applyFill="1" applyBorder="1" applyAlignment="1">
      <alignment horizontal="left" vertical="center" wrapText="1"/>
    </xf>
    <xf numFmtId="164" fontId="2" fillId="17" borderId="0" xfId="0" applyNumberFormat="1" applyFont="1" applyFill="1" applyBorder="1" applyAlignment="1">
      <alignment vertical="center"/>
    </xf>
    <xf numFmtId="0" fontId="20" fillId="9" borderId="14" xfId="0" applyFont="1" applyFill="1" applyBorder="1" applyAlignment="1">
      <alignment horizontal="left" vertical="center" wrapText="1" indent="2"/>
    </xf>
    <xf numFmtId="164" fontId="2" fillId="9" borderId="0" xfId="0" applyNumberFormat="1" applyFont="1" applyFill="1" applyBorder="1" applyAlignment="1">
      <alignment vertical="center"/>
    </xf>
    <xf numFmtId="0" fontId="79" fillId="0" borderId="18" xfId="0" applyFont="1" applyBorder="1" applyAlignment="1">
      <alignment horizontal="left" vertical="center" wrapText="1"/>
    </xf>
    <xf numFmtId="0" fontId="57" fillId="0" borderId="18" xfId="0" applyFont="1" applyBorder="1" applyAlignment="1">
      <alignment horizontal="left" vertical="center" wrapText="1" indent="1"/>
    </xf>
    <xf numFmtId="0" fontId="20" fillId="18" borderId="17" xfId="0" applyFont="1" applyFill="1" applyBorder="1" applyAlignment="1">
      <alignment horizontal="center" vertical="center" wrapText="1"/>
    </xf>
    <xf numFmtId="0" fontId="20" fillId="20" borderId="17" xfId="0" applyFont="1" applyFill="1" applyBorder="1" applyAlignment="1">
      <alignment horizontal="center" vertical="center" wrapText="1"/>
    </xf>
    <xf numFmtId="164" fontId="2" fillId="20" borderId="0" xfId="0" applyNumberFormat="1" applyFont="1" applyFill="1" applyBorder="1" applyAlignment="1">
      <alignment vertical="center"/>
    </xf>
    <xf numFmtId="164" fontId="1" fillId="17" borderId="0" xfId="0" applyNumberFormat="1" applyFont="1" applyFill="1" applyBorder="1" applyAlignment="1">
      <alignment horizontal="center" vertical="center"/>
    </xf>
    <xf numFmtId="164" fontId="1" fillId="17" borderId="0" xfId="0" applyNumberFormat="1" applyFont="1" applyFill="1" applyBorder="1" applyAlignment="1">
      <alignment horizontal="center" vertical="center"/>
    </xf>
    <xf numFmtId="164" fontId="1" fillId="20" borderId="0" xfId="0" applyNumberFormat="1" applyFont="1" applyFill="1" applyBorder="1" applyAlignment="1">
      <alignment horizontal="center" vertical="center"/>
    </xf>
    <xf numFmtId="164" fontId="1" fillId="20" borderId="0" xfId="0" applyNumberFormat="1" applyFont="1" applyFill="1" applyBorder="1" applyAlignment="1">
      <alignment horizontal="center" vertical="center"/>
    </xf>
    <xf numFmtId="164" fontId="2" fillId="9" borderId="0" xfId="0" applyNumberFormat="1" applyFont="1" applyFill="1" applyBorder="1" applyAlignment="1">
      <alignment horizontal="center" vertical="center"/>
    </xf>
    <xf numFmtId="164" fontId="2" fillId="9" borderId="0" xfId="0" applyNumberFormat="1" applyFont="1" applyFill="1" applyBorder="1" applyAlignment="1">
      <alignment horizontal="center" vertical="center"/>
    </xf>
    <xf numFmtId="164" fontId="1" fillId="9" borderId="0" xfId="0" applyNumberFormat="1" applyFont="1" applyFill="1" applyBorder="1" applyAlignment="1">
      <alignment horizontal="center" vertical="center"/>
    </xf>
    <xf numFmtId="2" fontId="49" fillId="0" borderId="0" xfId="0" applyNumberFormat="1" applyFont="1" applyAlignment="1">
      <alignment vertical="center" wrapText="1"/>
    </xf>
    <xf numFmtId="0" fontId="57" fillId="0" borderId="18" xfId="0" applyFont="1" applyBorder="1" applyAlignment="1">
      <alignment horizontal="left" vertical="center" wrapText="1" indent="4"/>
    </xf>
    <xf numFmtId="0" fontId="57" fillId="0" borderId="18" xfId="0" applyFont="1" applyBorder="1" applyAlignment="1">
      <alignment horizontal="left" vertical="center" wrapText="1" indent="7"/>
    </xf>
    <xf numFmtId="2" fontId="1" fillId="0" borderId="18" xfId="0" applyNumberFormat="1" applyFont="1" applyBorder="1" applyAlignment="1">
      <alignment horizontal="center" vertical="center" wrapText="1"/>
    </xf>
    <xf numFmtId="2" fontId="33" fillId="0" borderId="18" xfId="0" applyNumberFormat="1" applyFont="1" applyBorder="1" applyAlignment="1">
      <alignment vertical="center" wrapText="1"/>
    </xf>
    <xf numFmtId="164" fontId="33" fillId="0" borderId="18" xfId="0" applyNumberFormat="1" applyFont="1" applyBorder="1" applyAlignment="1">
      <alignment vertical="center" wrapText="1"/>
    </xf>
    <xf numFmtId="164" fontId="33" fillId="0" borderId="19" xfId="0" applyNumberFormat="1" applyFont="1" applyBorder="1" applyAlignment="1">
      <alignment vertical="center"/>
    </xf>
    <xf numFmtId="164" fontId="33" fillId="0" borderId="12" xfId="0" applyNumberFormat="1" applyFont="1" applyBorder="1" applyAlignment="1">
      <alignment horizontal="center" vertical="center"/>
    </xf>
    <xf numFmtId="164" fontId="33" fillId="0" borderId="13" xfId="0" applyNumberFormat="1" applyFont="1" applyBorder="1" applyAlignment="1">
      <alignment horizontal="center" vertical="center"/>
    </xf>
    <xf numFmtId="164" fontId="2" fillId="9" borderId="8" xfId="0" applyNumberFormat="1" applyFont="1" applyFill="1" applyBorder="1" applyAlignment="1">
      <alignment vertical="center"/>
    </xf>
    <xf numFmtId="164" fontId="49" fillId="9" borderId="10" xfId="0" applyNumberFormat="1" applyFont="1" applyFill="1" applyBorder="1" applyAlignment="1">
      <alignment vertical="center" wrapText="1"/>
    </xf>
    <xf numFmtId="164" fontId="2" fillId="17" borderId="8" xfId="0" applyNumberFormat="1" applyFont="1" applyFill="1" applyBorder="1" applyAlignment="1">
      <alignment vertical="center"/>
    </xf>
    <xf numFmtId="164" fontId="49" fillId="17" borderId="10" xfId="0" applyNumberFormat="1" applyFont="1" applyFill="1" applyBorder="1" applyAlignment="1">
      <alignment vertical="center"/>
    </xf>
    <xf numFmtId="164" fontId="2" fillId="20" borderId="8" xfId="0" applyNumberFormat="1" applyFont="1" applyFill="1" applyBorder="1" applyAlignment="1">
      <alignment vertical="center"/>
    </xf>
    <xf numFmtId="164" fontId="49" fillId="20" borderId="10" xfId="0" applyNumberFormat="1" applyFont="1" applyFill="1" applyBorder="1" applyAlignment="1">
      <alignment vertical="center"/>
    </xf>
    <xf numFmtId="3" fontId="73" fillId="9" borderId="78" xfId="3" applyNumberFormat="1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74" fillId="21" borderId="76" xfId="3" applyFont="1" applyFill="1" applyBorder="1" applyAlignment="1">
      <alignment horizontal="left" vertical="center" wrapText="1"/>
    </xf>
    <xf numFmtId="0" fontId="74" fillId="21" borderId="32" xfId="3" applyFont="1" applyFill="1" applyBorder="1" applyAlignment="1">
      <alignment horizontal="left" vertical="center" wrapText="1"/>
    </xf>
    <xf numFmtId="0" fontId="74" fillId="21" borderId="77" xfId="3" applyFont="1" applyFill="1" applyBorder="1" applyAlignment="1">
      <alignment horizontal="left" vertical="center" wrapText="1"/>
    </xf>
    <xf numFmtId="3" fontId="74" fillId="21" borderId="70" xfId="3" applyNumberFormat="1" applyFont="1" applyFill="1" applyBorder="1" applyAlignment="1">
      <alignment horizontal="center" vertical="center" wrapText="1"/>
    </xf>
    <xf numFmtId="0" fontId="74" fillId="22" borderId="74" xfId="3" applyFont="1" applyFill="1" applyBorder="1" applyAlignment="1">
      <alignment horizontal="left" vertical="center" wrapText="1"/>
    </xf>
    <xf numFmtId="0" fontId="74" fillId="22" borderId="45" xfId="3" applyFont="1" applyFill="1" applyBorder="1" applyAlignment="1">
      <alignment horizontal="left" vertical="center" wrapText="1"/>
    </xf>
    <xf numFmtId="0" fontId="74" fillId="22" borderId="75" xfId="3" applyFont="1" applyFill="1" applyBorder="1" applyAlignment="1">
      <alignment horizontal="left" vertical="center" wrapText="1"/>
    </xf>
    <xf numFmtId="3" fontId="74" fillId="22" borderId="78" xfId="3" applyNumberFormat="1" applyFont="1" applyFill="1" applyBorder="1" applyAlignment="1">
      <alignment horizontal="center" vertical="center" wrapText="1"/>
    </xf>
    <xf numFmtId="164" fontId="28" fillId="17" borderId="10" xfId="0" applyNumberFormat="1" applyFont="1" applyFill="1" applyBorder="1" applyAlignment="1">
      <alignment vertical="center"/>
    </xf>
    <xf numFmtId="164" fontId="2" fillId="9" borderId="0" xfId="0" applyNumberFormat="1" applyFont="1" applyFill="1" applyAlignment="1">
      <alignment vertical="center"/>
    </xf>
    <xf numFmtId="164" fontId="28" fillId="0" borderId="0" xfId="0" applyNumberFormat="1" applyFont="1" applyAlignment="1">
      <alignment vertical="center"/>
    </xf>
    <xf numFmtId="10" fontId="28" fillId="0" borderId="0" xfId="2" applyNumberFormat="1" applyFont="1" applyAlignment="1">
      <alignment horizontal="center" vertical="center"/>
    </xf>
    <xf numFmtId="0" fontId="1" fillId="0" borderId="18" xfId="0" applyFont="1" applyBorder="1" applyAlignment="1">
      <alignment vertical="center" wrapText="1"/>
    </xf>
    <xf numFmtId="0" fontId="28" fillId="0" borderId="17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3" fontId="73" fillId="9" borderId="71" xfId="3" applyNumberFormat="1" applyFont="1" applyFill="1" applyBorder="1" applyAlignment="1">
      <alignment horizontal="center" vertical="center" wrapText="1"/>
    </xf>
    <xf numFmtId="3" fontId="63" fillId="0" borderId="0" xfId="3" applyNumberFormat="1" applyFont="1" applyAlignment="1">
      <alignment horizontal="right" vertical="center"/>
    </xf>
    <xf numFmtId="164" fontId="1" fillId="9" borderId="58" xfId="0" applyNumberFormat="1" applyFont="1" applyFill="1" applyBorder="1" applyAlignment="1">
      <alignment horizontal="left" vertical="center"/>
    </xf>
    <xf numFmtId="164" fontId="1" fillId="9" borderId="59" xfId="0" applyNumberFormat="1" applyFont="1" applyFill="1" applyBorder="1" applyAlignment="1">
      <alignment horizontal="left" vertical="center"/>
    </xf>
    <xf numFmtId="49" fontId="68" fillId="0" borderId="79" xfId="3" quotePrefix="1" applyNumberFormat="1" applyFont="1" applyBorder="1" applyAlignment="1">
      <alignment horizontal="right" vertical="center" wrapText="1"/>
    </xf>
    <xf numFmtId="0" fontId="68" fillId="0" borderId="79" xfId="3" applyFont="1" applyBorder="1" applyAlignment="1">
      <alignment horizontal="left" vertical="center" wrapText="1"/>
    </xf>
    <xf numFmtId="0" fontId="68" fillId="0" borderId="79" xfId="3" applyFont="1" applyBorder="1" applyAlignment="1">
      <alignment horizontal="center" vertical="center" wrapText="1"/>
    </xf>
    <xf numFmtId="3" fontId="68" fillId="0" borderId="79" xfId="3" applyNumberFormat="1" applyFont="1" applyBorder="1" applyAlignment="1">
      <alignment horizontal="center" vertical="center" wrapText="1"/>
    </xf>
    <xf numFmtId="3" fontId="71" fillId="0" borderId="79" xfId="0" applyNumberFormat="1" applyFont="1" applyBorder="1" applyAlignment="1">
      <alignment horizontal="center" vertical="center" wrapText="1"/>
    </xf>
    <xf numFmtId="49" fontId="68" fillId="0" borderId="80" xfId="3" quotePrefix="1" applyNumberFormat="1" applyFont="1" applyBorder="1" applyAlignment="1">
      <alignment horizontal="right" vertical="center" wrapText="1"/>
    </xf>
    <xf numFmtId="0" fontId="68" fillId="0" borderId="80" xfId="3" applyFont="1" applyBorder="1" applyAlignment="1">
      <alignment horizontal="left" vertical="center" wrapText="1"/>
    </xf>
    <xf numFmtId="0" fontId="68" fillId="0" borderId="80" xfId="3" applyFont="1" applyBorder="1" applyAlignment="1">
      <alignment horizontal="center" vertical="center" wrapText="1"/>
    </xf>
    <xf numFmtId="3" fontId="68" fillId="0" borderId="80" xfId="3" applyNumberFormat="1" applyFont="1" applyBorder="1" applyAlignment="1">
      <alignment horizontal="center" vertical="center" wrapText="1"/>
    </xf>
    <xf numFmtId="3" fontId="71" fillId="0" borderId="80" xfId="0" applyNumberFormat="1" applyFont="1" applyBorder="1" applyAlignment="1">
      <alignment horizontal="center" vertical="center" wrapText="1"/>
    </xf>
    <xf numFmtId="49" fontId="68" fillId="9" borderId="80" xfId="3" quotePrefix="1" applyNumberFormat="1" applyFont="1" applyFill="1" applyBorder="1" applyAlignment="1">
      <alignment horizontal="right" vertical="center" wrapText="1"/>
    </xf>
    <xf numFmtId="0" fontId="68" fillId="9" borderId="80" xfId="3" applyFont="1" applyFill="1" applyBorder="1" applyAlignment="1">
      <alignment horizontal="left" vertical="center" wrapText="1"/>
    </xf>
    <xf numFmtId="0" fontId="68" fillId="9" borderId="80" xfId="3" applyFont="1" applyFill="1" applyBorder="1" applyAlignment="1">
      <alignment horizontal="center" vertical="center" wrapText="1"/>
    </xf>
    <xf numFmtId="3" fontId="68" fillId="9" borderId="80" xfId="3" applyNumberFormat="1" applyFont="1" applyFill="1" applyBorder="1" applyAlignment="1">
      <alignment horizontal="center" vertical="center" wrapText="1"/>
    </xf>
    <xf numFmtId="3" fontId="71" fillId="9" borderId="80" xfId="0" applyNumberFormat="1" applyFont="1" applyFill="1" applyBorder="1" applyAlignment="1">
      <alignment horizontal="center" vertical="center" wrapText="1"/>
    </xf>
    <xf numFmtId="49" fontId="68" fillId="0" borderId="82" xfId="3" quotePrefix="1" applyNumberFormat="1" applyFont="1" applyBorder="1" applyAlignment="1">
      <alignment horizontal="right" vertical="center" wrapText="1"/>
    </xf>
    <xf numFmtId="0" fontId="62" fillId="0" borderId="83" xfId="3" applyFont="1" applyBorder="1" applyAlignment="1">
      <alignment horizontal="center" vertical="center"/>
    </xf>
    <xf numFmtId="0" fontId="62" fillId="0" borderId="82" xfId="3" applyFont="1" applyBorder="1" applyAlignment="1">
      <alignment horizontal="center" vertical="center"/>
    </xf>
    <xf numFmtId="3" fontId="68" fillId="0" borderId="82" xfId="3" applyNumberFormat="1" applyFont="1" applyBorder="1" applyAlignment="1">
      <alignment horizontal="center" vertical="center" wrapText="1"/>
    </xf>
    <xf numFmtId="0" fontId="70" fillId="0" borderId="8" xfId="3" applyFont="1" applyBorder="1" applyAlignment="1">
      <alignment horizontal="center" vertical="center" wrapText="1"/>
    </xf>
    <xf numFmtId="0" fontId="59" fillId="0" borderId="7" xfId="3" applyFont="1" applyBorder="1" applyAlignment="1">
      <alignment horizontal="center" vertical="center"/>
    </xf>
    <xf numFmtId="0" fontId="70" fillId="0" borderId="37" xfId="3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/>
    </xf>
    <xf numFmtId="0" fontId="70" fillId="0" borderId="38" xfId="0" applyFont="1" applyBorder="1" applyAlignment="1">
      <alignment horizontal="center" vertical="center"/>
    </xf>
    <xf numFmtId="0" fontId="70" fillId="0" borderId="9" xfId="3" applyFont="1" applyBorder="1" applyAlignment="1">
      <alignment horizontal="center" vertical="center" wrapText="1"/>
    </xf>
    <xf numFmtId="0" fontId="70" fillId="0" borderId="10" xfId="3" applyFont="1" applyBorder="1" applyAlignment="1">
      <alignment horizontal="center" vertical="center" wrapText="1"/>
    </xf>
    <xf numFmtId="49" fontId="80" fillId="9" borderId="81" xfId="3" quotePrefix="1" applyNumberFormat="1" applyFont="1" applyFill="1" applyBorder="1" applyAlignment="1">
      <alignment horizontal="right" vertical="center" wrapText="1"/>
    </xf>
    <xf numFmtId="0" fontId="80" fillId="9" borderId="81" xfId="3" applyFont="1" applyFill="1" applyBorder="1" applyAlignment="1">
      <alignment horizontal="left" vertical="center" wrapText="1"/>
    </xf>
    <xf numFmtId="0" fontId="80" fillId="9" borderId="81" xfId="3" applyFont="1" applyFill="1" applyBorder="1" applyAlignment="1">
      <alignment horizontal="center" vertical="center" wrapText="1"/>
    </xf>
    <xf numFmtId="3" fontId="80" fillId="9" borderId="81" xfId="3" applyNumberFormat="1" applyFont="1" applyFill="1" applyBorder="1" applyAlignment="1">
      <alignment horizontal="center" vertical="center" wrapText="1"/>
    </xf>
    <xf numFmtId="3" fontId="80" fillId="9" borderId="81" xfId="0" applyNumberFormat="1" applyFont="1" applyFill="1" applyBorder="1" applyAlignment="1">
      <alignment horizontal="center" vertical="center" wrapText="1"/>
    </xf>
    <xf numFmtId="0" fontId="73" fillId="9" borderId="84" xfId="3" applyFont="1" applyFill="1" applyBorder="1" applyAlignment="1">
      <alignment horizontal="left" vertical="center" wrapText="1"/>
    </xf>
    <xf numFmtId="0" fontId="73" fillId="9" borderId="85" xfId="3" applyFont="1" applyFill="1" applyBorder="1" applyAlignment="1">
      <alignment horizontal="left" vertical="center" wrapText="1"/>
    </xf>
    <xf numFmtId="0" fontId="73" fillId="9" borderId="86" xfId="3" applyFont="1" applyFill="1" applyBorder="1" applyAlignment="1">
      <alignment horizontal="left" vertical="center" wrapText="1"/>
    </xf>
    <xf numFmtId="0" fontId="68" fillId="9" borderId="85" xfId="3" applyFont="1" applyFill="1" applyBorder="1" applyAlignment="1">
      <alignment vertical="center" wrapText="1"/>
    </xf>
    <xf numFmtId="0" fontId="68" fillId="9" borderId="85" xfId="3" applyFont="1" applyFill="1" applyBorder="1" applyAlignment="1">
      <alignment horizontal="center" vertical="center" wrapText="1"/>
    </xf>
    <xf numFmtId="3" fontId="68" fillId="9" borderId="86" xfId="3" applyNumberFormat="1" applyFont="1" applyFill="1" applyBorder="1" applyAlignment="1">
      <alignment horizontal="center" vertical="center" wrapText="1"/>
    </xf>
    <xf numFmtId="0" fontId="69" fillId="0" borderId="0" xfId="3" applyFont="1" applyAlignment="1">
      <alignment horizontal="center" vertical="center" wrapText="1"/>
    </xf>
    <xf numFmtId="164" fontId="1" fillId="17" borderId="47" xfId="0" applyNumberFormat="1" applyFont="1" applyFill="1" applyBorder="1" applyAlignment="1">
      <alignment horizontal="left" vertical="center"/>
    </xf>
    <xf numFmtId="164" fontId="1" fillId="17" borderId="49" xfId="0" applyNumberFormat="1" applyFont="1" applyFill="1" applyBorder="1" applyAlignment="1">
      <alignment horizontal="left" vertical="center"/>
    </xf>
    <xf numFmtId="164" fontId="1" fillId="20" borderId="52" xfId="0" applyNumberFormat="1" applyFont="1" applyFill="1" applyBorder="1" applyAlignment="1">
      <alignment horizontal="left" vertical="center"/>
    </xf>
    <xf numFmtId="164" fontId="1" fillId="20" borderId="53" xfId="0" applyNumberFormat="1" applyFont="1" applyFill="1" applyBorder="1" applyAlignment="1">
      <alignment horizontal="left" vertical="center"/>
    </xf>
    <xf numFmtId="0" fontId="68" fillId="0" borderId="8" xfId="3" applyFont="1" applyBorder="1" applyAlignment="1">
      <alignment horizontal="center" vertical="center" wrapText="1"/>
    </xf>
    <xf numFmtId="0" fontId="68" fillId="0" borderId="9" xfId="3" applyFont="1" applyBorder="1" applyAlignment="1">
      <alignment horizontal="center" vertical="center" wrapText="1"/>
    </xf>
    <xf numFmtId="0" fontId="68" fillId="0" borderId="10" xfId="3" applyFont="1" applyBorder="1" applyAlignment="1">
      <alignment horizontal="center" vertical="center" wrapText="1"/>
    </xf>
    <xf numFmtId="0" fontId="81" fillId="0" borderId="8" xfId="3" applyFont="1" applyBorder="1" applyAlignment="1">
      <alignment horizontal="right" vertical="center" wrapText="1"/>
    </xf>
    <xf numFmtId="0" fontId="81" fillId="0" borderId="9" xfId="3" applyFont="1" applyBorder="1" applyAlignment="1">
      <alignment horizontal="right" vertical="center" wrapText="1"/>
    </xf>
    <xf numFmtId="0" fontId="81" fillId="0" borderId="10" xfId="3" applyFont="1" applyBorder="1" applyAlignment="1">
      <alignment horizontal="right" vertical="center" wrapText="1"/>
    </xf>
    <xf numFmtId="3" fontId="81" fillId="11" borderId="71" xfId="3" applyNumberFormat="1" applyFont="1" applyFill="1" applyBorder="1" applyAlignment="1">
      <alignment horizontal="center" vertical="center" wrapText="1"/>
    </xf>
    <xf numFmtId="3" fontId="81" fillId="0" borderId="71" xfId="3" applyNumberFormat="1" applyFont="1" applyBorder="1" applyAlignment="1">
      <alignment horizontal="center" vertical="center" wrapText="1"/>
    </xf>
    <xf numFmtId="3" fontId="81" fillId="7" borderId="71" xfId="3" applyNumberFormat="1" applyFont="1" applyFill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17" fillId="0" borderId="0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68" fillId="0" borderId="60" xfId="3" applyFont="1" applyBorder="1" applyAlignment="1">
      <alignment horizontal="center" vertical="center"/>
    </xf>
    <xf numFmtId="0" fontId="68" fillId="0" borderId="0" xfId="0" applyFont="1" applyBorder="1" applyAlignment="1">
      <alignment horizontal="center" vertical="center"/>
    </xf>
    <xf numFmtId="0" fontId="68" fillId="0" borderId="61" xfId="0" applyFont="1" applyBorder="1" applyAlignment="1">
      <alignment horizontal="center" vertical="center"/>
    </xf>
    <xf numFmtId="0" fontId="82" fillId="0" borderId="29" xfId="3" applyFont="1" applyBorder="1" applyAlignment="1">
      <alignment horizontal="center" vertical="center"/>
    </xf>
    <xf numFmtId="0" fontId="82" fillId="0" borderId="30" xfId="0" applyFont="1" applyBorder="1" applyAlignment="1">
      <alignment horizontal="center" vertical="center"/>
    </xf>
    <xf numFmtId="0" fontId="82" fillId="0" borderId="31" xfId="0" applyFont="1" applyBorder="1" applyAlignment="1">
      <alignment horizontal="center" vertical="center"/>
    </xf>
    <xf numFmtId="0" fontId="82" fillId="0" borderId="60" xfId="3" applyFont="1" applyBorder="1" applyAlignment="1">
      <alignment horizontal="center" vertical="center"/>
    </xf>
    <xf numFmtId="0" fontId="82" fillId="0" borderId="0" xfId="0" applyFont="1" applyBorder="1" applyAlignment="1">
      <alignment horizontal="center" vertical="center"/>
    </xf>
    <xf numFmtId="0" fontId="82" fillId="0" borderId="61" xfId="0" applyFont="1" applyBorder="1" applyAlignment="1">
      <alignment horizontal="center" vertical="center"/>
    </xf>
    <xf numFmtId="0" fontId="81" fillId="7" borderId="60" xfId="3" applyFont="1" applyFill="1" applyBorder="1" applyAlignment="1">
      <alignment horizontal="center" vertical="center"/>
    </xf>
    <xf numFmtId="0" fontId="81" fillId="7" borderId="0" xfId="3" applyFont="1" applyFill="1" applyBorder="1" applyAlignment="1">
      <alignment horizontal="center" vertical="center"/>
    </xf>
    <xf numFmtId="0" fontId="81" fillId="7" borderId="61" xfId="3" applyFont="1" applyFill="1" applyBorder="1" applyAlignment="1">
      <alignment horizontal="center" vertical="center"/>
    </xf>
    <xf numFmtId="0" fontId="83" fillId="0" borderId="37" xfId="3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 wrapText="1"/>
    </xf>
    <xf numFmtId="0" fontId="83" fillId="0" borderId="38" xfId="0" applyFont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13" fillId="0" borderId="18" xfId="0" applyFont="1" applyBorder="1" applyAlignment="1">
      <alignment vertical="center" wrapText="1"/>
    </xf>
    <xf numFmtId="3" fontId="81" fillId="0" borderId="41" xfId="3" applyNumberFormat="1" applyFont="1" applyBorder="1" applyAlignment="1">
      <alignment vertical="center" wrapText="1"/>
    </xf>
    <xf numFmtId="3" fontId="81" fillId="0" borderId="26" xfId="3" applyNumberFormat="1" applyFont="1" applyBorder="1" applyAlignment="1">
      <alignment vertical="center" wrapText="1"/>
    </xf>
    <xf numFmtId="3" fontId="81" fillId="0" borderId="19" xfId="3" applyNumberFormat="1" applyFont="1" applyBorder="1" applyAlignment="1">
      <alignment vertical="center" wrapText="1"/>
    </xf>
    <xf numFmtId="3" fontId="81" fillId="0" borderId="22" xfId="3" applyNumberFormat="1" applyFont="1" applyBorder="1" applyAlignment="1">
      <alignment vertical="center" wrapText="1"/>
    </xf>
    <xf numFmtId="0" fontId="59" fillId="0" borderId="20" xfId="3" applyFont="1" applyBorder="1" applyAlignment="1">
      <alignment horizontal="center" vertical="center" wrapText="1"/>
    </xf>
    <xf numFmtId="0" fontId="59" fillId="0" borderId="21" xfId="3" applyFont="1" applyBorder="1" applyAlignment="1">
      <alignment horizontal="center" vertical="center" wrapText="1"/>
    </xf>
    <xf numFmtId="0" fontId="84" fillId="0" borderId="0" xfId="0" applyFont="1" applyAlignment="1">
      <alignment horizontal="center" vertical="center" wrapText="1"/>
    </xf>
    <xf numFmtId="0" fontId="85" fillId="0" borderId="0" xfId="3" applyFont="1" applyAlignment="1">
      <alignment horizontal="center" vertical="center"/>
    </xf>
    <xf numFmtId="0" fontId="86" fillId="0" borderId="0" xfId="0" applyFont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2" fontId="88" fillId="0" borderId="0" xfId="0" applyNumberFormat="1" applyFont="1" applyAlignment="1">
      <alignment vertical="center" wrapText="1"/>
    </xf>
    <xf numFmtId="2" fontId="87" fillId="0" borderId="0" xfId="0" applyNumberFormat="1" applyFont="1" applyAlignment="1">
      <alignment vertical="center" wrapText="1"/>
    </xf>
    <xf numFmtId="0" fontId="87" fillId="0" borderId="0" xfId="0" applyFont="1" applyAlignment="1">
      <alignment vertical="center" wrapText="1"/>
    </xf>
    <xf numFmtId="0" fontId="88" fillId="0" borderId="0" xfId="0" applyFont="1" applyAlignment="1">
      <alignment vertical="center"/>
    </xf>
    <xf numFmtId="0" fontId="89" fillId="0" borderId="7" xfId="0" applyFont="1" applyBorder="1" applyAlignment="1">
      <alignment horizontal="center" vertical="center" wrapText="1"/>
    </xf>
    <xf numFmtId="164" fontId="90" fillId="0" borderId="0" xfId="0" applyNumberFormat="1" applyFont="1" applyBorder="1" applyAlignment="1">
      <alignment vertical="center"/>
    </xf>
    <xf numFmtId="0" fontId="91" fillId="0" borderId="17" xfId="0" applyFont="1" applyBorder="1" applyAlignment="1">
      <alignment horizontal="center" vertical="center" wrapText="1"/>
    </xf>
    <xf numFmtId="0" fontId="91" fillId="0" borderId="18" xfId="0" applyFont="1" applyBorder="1" applyAlignment="1">
      <alignment horizontal="left" vertical="center" wrapText="1" indent="4"/>
    </xf>
    <xf numFmtId="0" fontId="91" fillId="0" borderId="18" xfId="0" applyFont="1" applyBorder="1" applyAlignment="1">
      <alignment horizontal="center" vertical="center" wrapText="1"/>
    </xf>
    <xf numFmtId="2" fontId="88" fillId="0" borderId="18" xfId="0" applyNumberFormat="1" applyFont="1" applyBorder="1" applyAlignment="1">
      <alignment horizontal="center" vertical="center" wrapText="1"/>
    </xf>
    <xf numFmtId="164" fontId="92" fillId="0" borderId="18" xfId="0" applyNumberFormat="1" applyFont="1" applyBorder="1" applyAlignment="1">
      <alignment vertical="center" wrapText="1"/>
    </xf>
    <xf numFmtId="164" fontId="92" fillId="0" borderId="19" xfId="0" applyNumberFormat="1" applyFont="1" applyBorder="1" applyAlignment="1">
      <alignment vertical="center"/>
    </xf>
    <xf numFmtId="164" fontId="88" fillId="0" borderId="0" xfId="0" applyNumberFormat="1" applyFont="1" applyBorder="1" applyAlignment="1">
      <alignment vertical="center"/>
    </xf>
    <xf numFmtId="0" fontId="92" fillId="0" borderId="0" xfId="0" applyFont="1" applyAlignment="1">
      <alignment vertical="center" wrapText="1"/>
    </xf>
    <xf numFmtId="164" fontId="92" fillId="0" borderId="0" xfId="0" applyNumberFormat="1" applyFont="1" applyAlignment="1">
      <alignment vertical="center" wrapText="1"/>
    </xf>
    <xf numFmtId="164" fontId="93" fillId="0" borderId="0" xfId="0" applyNumberFormat="1" applyFont="1" applyAlignment="1">
      <alignment vertical="center" wrapText="1"/>
    </xf>
    <xf numFmtId="0" fontId="92" fillId="0" borderId="0" xfId="0" applyFont="1" applyAlignment="1">
      <alignment vertical="center"/>
    </xf>
    <xf numFmtId="0" fontId="94" fillId="0" borderId="7" xfId="0" applyFont="1" applyBorder="1" applyAlignment="1">
      <alignment horizontal="center" vertical="center" wrapText="1"/>
    </xf>
    <xf numFmtId="0" fontId="34" fillId="9" borderId="66" xfId="3" applyFont="1" applyFill="1" applyBorder="1" applyAlignment="1">
      <alignment vertical="center" wrapText="1"/>
    </xf>
    <xf numFmtId="0" fontId="95" fillId="0" borderId="0" xfId="0" applyFont="1" applyAlignment="1">
      <alignment horizontal="center" vertical="center"/>
    </xf>
  </cellXfs>
  <cellStyles count="5">
    <cellStyle name="Milliers" xfId="1" builtinId="3"/>
    <cellStyle name="Normal" xfId="0" builtinId="0"/>
    <cellStyle name="Normal 2" xfId="3"/>
    <cellStyle name="Normal 2 2" xfId="4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182880</xdr:rowOff>
    </xdr:from>
    <xdr:to>
      <xdr:col>1</xdr:col>
      <xdr:colOff>781934</xdr:colOff>
      <xdr:row>4</xdr:row>
      <xdr:rowOff>41910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182880"/>
          <a:ext cx="1406774" cy="674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117775</xdr:colOff>
      <xdr:row>1</xdr:row>
      <xdr:rowOff>3859</xdr:rowOff>
    </xdr:from>
    <xdr:to>
      <xdr:col>5</xdr:col>
      <xdr:colOff>1038225</xdr:colOff>
      <xdr:row>5</xdr:row>
      <xdr:rowOff>112395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7775" y="194359"/>
          <a:ext cx="1027130" cy="9238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375921</xdr:colOff>
      <xdr:row>0</xdr:row>
      <xdr:rowOff>91440</xdr:rowOff>
    </xdr:from>
    <xdr:to>
      <xdr:col>6</xdr:col>
      <xdr:colOff>1188890</xdr:colOff>
      <xdr:row>5</xdr:row>
      <xdr:rowOff>3175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1" y="91440"/>
          <a:ext cx="812969" cy="8261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%20route%20akemi%20ndongoni/Offre%20commerciale%20MIKA/D&#233;compte%20et%20attachement/Commercial%20Final/Copie%20de%20DQ%20d&#233;taill&#233;%20rev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KIMIDJONGONI/METRE/VFMETRE%20CANIVEAU%20AKIMIDJONGO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</sheetNames>
    <sheetDataSet>
      <sheetData sheetId="0">
        <row r="463">
          <cell r="G463">
            <v>2704441229.4000001</v>
          </cell>
        </row>
        <row r="484">
          <cell r="G484">
            <v>2995552891.4065523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DQE DRAINAGE"/>
      <sheetName val="CALCUL VOLUME"/>
    </sheetNames>
    <sheetDataSet>
      <sheetData sheetId="0" refreshError="1"/>
      <sheetData sheetId="1" refreshError="1">
        <row r="62">
          <cell r="C62">
            <v>945</v>
          </cell>
          <cell r="F62">
            <v>162.75</v>
          </cell>
        </row>
        <row r="63">
          <cell r="C63">
            <v>45</v>
          </cell>
          <cell r="F63">
            <v>7.75</v>
          </cell>
        </row>
        <row r="64">
          <cell r="C64">
            <v>342</v>
          </cell>
          <cell r="F64">
            <v>58.9</v>
          </cell>
        </row>
        <row r="65">
          <cell r="C65">
            <v>30780</v>
          </cell>
          <cell r="F65">
            <v>5301</v>
          </cell>
        </row>
        <row r="66">
          <cell r="C66">
            <v>1350</v>
          </cell>
          <cell r="F66">
            <v>232.5</v>
          </cell>
        </row>
        <row r="72">
          <cell r="C72">
            <v>5400</v>
          </cell>
          <cell r="F72">
            <v>930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22"/>
  <sheetViews>
    <sheetView tabSelected="1" topLeftCell="A52" zoomScale="80" zoomScaleNormal="80" workbookViewId="0">
      <selection activeCell="F30" sqref="F30"/>
    </sheetView>
  </sheetViews>
  <sheetFormatPr baseColWidth="10" defaultColWidth="10" defaultRowHeight="15"/>
  <cols>
    <col min="1" max="1" width="8" style="616" customWidth="1"/>
    <col min="2" max="2" width="64.88671875" style="616" customWidth="1"/>
    <col min="3" max="4" width="11.44140625" style="624" customWidth="1"/>
    <col min="5" max="5" width="15.33203125" style="617" bestFit="1" customWidth="1"/>
    <col min="6" max="6" width="19.33203125" style="617" customWidth="1"/>
    <col min="7" max="7" width="13.77734375" style="618" bestFit="1" customWidth="1"/>
    <col min="8" max="8" width="6.6640625" style="619" bestFit="1" customWidth="1"/>
    <col min="9" max="10" width="20.6640625" style="619" customWidth="1"/>
    <col min="11" max="11" width="13.77734375" style="619" bestFit="1" customWidth="1"/>
    <col min="12" max="12" width="22.6640625" style="619" bestFit="1" customWidth="1"/>
    <col min="13" max="13" width="16.88671875" style="619" bestFit="1" customWidth="1"/>
    <col min="14" max="255" width="11.44140625" style="619" customWidth="1"/>
    <col min="256" max="256" width="10" style="619"/>
    <col min="257" max="257" width="8" style="619" customWidth="1"/>
    <col min="258" max="258" width="64.88671875" style="619" customWidth="1"/>
    <col min="259" max="260" width="11.44140625" style="619" customWidth="1"/>
    <col min="261" max="261" width="14.109375" style="619" customWidth="1"/>
    <col min="262" max="262" width="19.33203125" style="619" customWidth="1"/>
    <col min="263" max="263" width="18.109375" style="619" customWidth="1"/>
    <col min="264" max="264" width="18.6640625" style="619" customWidth="1"/>
    <col min="265" max="265" width="20.6640625" style="619" customWidth="1"/>
    <col min="266" max="511" width="11.44140625" style="619" customWidth="1"/>
    <col min="512" max="512" width="10" style="619"/>
    <col min="513" max="513" width="8" style="619" customWidth="1"/>
    <col min="514" max="514" width="64.88671875" style="619" customWidth="1"/>
    <col min="515" max="516" width="11.44140625" style="619" customWidth="1"/>
    <col min="517" max="517" width="14.109375" style="619" customWidth="1"/>
    <col min="518" max="518" width="19.33203125" style="619" customWidth="1"/>
    <col min="519" max="519" width="18.109375" style="619" customWidth="1"/>
    <col min="520" max="520" width="18.6640625" style="619" customWidth="1"/>
    <col min="521" max="521" width="20.6640625" style="619" customWidth="1"/>
    <col min="522" max="767" width="11.44140625" style="619" customWidth="1"/>
    <col min="768" max="768" width="10" style="619"/>
    <col min="769" max="769" width="8" style="619" customWidth="1"/>
    <col min="770" max="770" width="64.88671875" style="619" customWidth="1"/>
    <col min="771" max="772" width="11.44140625" style="619" customWidth="1"/>
    <col min="773" max="773" width="14.109375" style="619" customWidth="1"/>
    <col min="774" max="774" width="19.33203125" style="619" customWidth="1"/>
    <col min="775" max="775" width="18.109375" style="619" customWidth="1"/>
    <col min="776" max="776" width="18.6640625" style="619" customWidth="1"/>
    <col min="777" max="777" width="20.6640625" style="619" customWidth="1"/>
    <col min="778" max="1023" width="11.44140625" style="619" customWidth="1"/>
    <col min="1024" max="1024" width="10" style="619"/>
    <col min="1025" max="1025" width="8" style="619" customWidth="1"/>
    <col min="1026" max="1026" width="64.88671875" style="619" customWidth="1"/>
    <col min="1027" max="1028" width="11.44140625" style="619" customWidth="1"/>
    <col min="1029" max="1029" width="14.109375" style="619" customWidth="1"/>
    <col min="1030" max="1030" width="19.33203125" style="619" customWidth="1"/>
    <col min="1031" max="1031" width="18.109375" style="619" customWidth="1"/>
    <col min="1032" max="1032" width="18.6640625" style="619" customWidth="1"/>
    <col min="1033" max="1033" width="20.6640625" style="619" customWidth="1"/>
    <col min="1034" max="1279" width="11.44140625" style="619" customWidth="1"/>
    <col min="1280" max="1280" width="10" style="619"/>
    <col min="1281" max="1281" width="8" style="619" customWidth="1"/>
    <col min="1282" max="1282" width="64.88671875" style="619" customWidth="1"/>
    <col min="1283" max="1284" width="11.44140625" style="619" customWidth="1"/>
    <col min="1285" max="1285" width="14.109375" style="619" customWidth="1"/>
    <col min="1286" max="1286" width="19.33203125" style="619" customWidth="1"/>
    <col min="1287" max="1287" width="18.109375" style="619" customWidth="1"/>
    <col min="1288" max="1288" width="18.6640625" style="619" customWidth="1"/>
    <col min="1289" max="1289" width="20.6640625" style="619" customWidth="1"/>
    <col min="1290" max="1535" width="11.44140625" style="619" customWidth="1"/>
    <col min="1536" max="1536" width="10" style="619"/>
    <col min="1537" max="1537" width="8" style="619" customWidth="1"/>
    <col min="1538" max="1538" width="64.88671875" style="619" customWidth="1"/>
    <col min="1539" max="1540" width="11.44140625" style="619" customWidth="1"/>
    <col min="1541" max="1541" width="14.109375" style="619" customWidth="1"/>
    <col min="1542" max="1542" width="19.33203125" style="619" customWidth="1"/>
    <col min="1543" max="1543" width="18.109375" style="619" customWidth="1"/>
    <col min="1544" max="1544" width="18.6640625" style="619" customWidth="1"/>
    <col min="1545" max="1545" width="20.6640625" style="619" customWidth="1"/>
    <col min="1546" max="1791" width="11.44140625" style="619" customWidth="1"/>
    <col min="1792" max="1792" width="10" style="619"/>
    <col min="1793" max="1793" width="8" style="619" customWidth="1"/>
    <col min="1794" max="1794" width="64.88671875" style="619" customWidth="1"/>
    <col min="1795" max="1796" width="11.44140625" style="619" customWidth="1"/>
    <col min="1797" max="1797" width="14.109375" style="619" customWidth="1"/>
    <col min="1798" max="1798" width="19.33203125" style="619" customWidth="1"/>
    <col min="1799" max="1799" width="18.109375" style="619" customWidth="1"/>
    <col min="1800" max="1800" width="18.6640625" style="619" customWidth="1"/>
    <col min="1801" max="1801" width="20.6640625" style="619" customWidth="1"/>
    <col min="1802" max="2047" width="11.44140625" style="619" customWidth="1"/>
    <col min="2048" max="2048" width="10" style="619"/>
    <col min="2049" max="2049" width="8" style="619" customWidth="1"/>
    <col min="2050" max="2050" width="64.88671875" style="619" customWidth="1"/>
    <col min="2051" max="2052" width="11.44140625" style="619" customWidth="1"/>
    <col min="2053" max="2053" width="14.109375" style="619" customWidth="1"/>
    <col min="2054" max="2054" width="19.33203125" style="619" customWidth="1"/>
    <col min="2055" max="2055" width="18.109375" style="619" customWidth="1"/>
    <col min="2056" max="2056" width="18.6640625" style="619" customWidth="1"/>
    <col min="2057" max="2057" width="20.6640625" style="619" customWidth="1"/>
    <col min="2058" max="2303" width="11.44140625" style="619" customWidth="1"/>
    <col min="2304" max="2304" width="10" style="619"/>
    <col min="2305" max="2305" width="8" style="619" customWidth="1"/>
    <col min="2306" max="2306" width="64.88671875" style="619" customWidth="1"/>
    <col min="2307" max="2308" width="11.44140625" style="619" customWidth="1"/>
    <col min="2309" max="2309" width="14.109375" style="619" customWidth="1"/>
    <col min="2310" max="2310" width="19.33203125" style="619" customWidth="1"/>
    <col min="2311" max="2311" width="18.109375" style="619" customWidth="1"/>
    <col min="2312" max="2312" width="18.6640625" style="619" customWidth="1"/>
    <col min="2313" max="2313" width="20.6640625" style="619" customWidth="1"/>
    <col min="2314" max="2559" width="11.44140625" style="619" customWidth="1"/>
    <col min="2560" max="2560" width="10" style="619"/>
    <col min="2561" max="2561" width="8" style="619" customWidth="1"/>
    <col min="2562" max="2562" width="64.88671875" style="619" customWidth="1"/>
    <col min="2563" max="2564" width="11.44140625" style="619" customWidth="1"/>
    <col min="2565" max="2565" width="14.109375" style="619" customWidth="1"/>
    <col min="2566" max="2566" width="19.33203125" style="619" customWidth="1"/>
    <col min="2567" max="2567" width="18.109375" style="619" customWidth="1"/>
    <col min="2568" max="2568" width="18.6640625" style="619" customWidth="1"/>
    <col min="2569" max="2569" width="20.6640625" style="619" customWidth="1"/>
    <col min="2570" max="2815" width="11.44140625" style="619" customWidth="1"/>
    <col min="2816" max="2816" width="10" style="619"/>
    <col min="2817" max="2817" width="8" style="619" customWidth="1"/>
    <col min="2818" max="2818" width="64.88671875" style="619" customWidth="1"/>
    <col min="2819" max="2820" width="11.44140625" style="619" customWidth="1"/>
    <col min="2821" max="2821" width="14.109375" style="619" customWidth="1"/>
    <col min="2822" max="2822" width="19.33203125" style="619" customWidth="1"/>
    <col min="2823" max="2823" width="18.109375" style="619" customWidth="1"/>
    <col min="2824" max="2824" width="18.6640625" style="619" customWidth="1"/>
    <col min="2825" max="2825" width="20.6640625" style="619" customWidth="1"/>
    <col min="2826" max="3071" width="11.44140625" style="619" customWidth="1"/>
    <col min="3072" max="3072" width="10" style="619"/>
    <col min="3073" max="3073" width="8" style="619" customWidth="1"/>
    <col min="3074" max="3074" width="64.88671875" style="619" customWidth="1"/>
    <col min="3075" max="3076" width="11.44140625" style="619" customWidth="1"/>
    <col min="3077" max="3077" width="14.109375" style="619" customWidth="1"/>
    <col min="3078" max="3078" width="19.33203125" style="619" customWidth="1"/>
    <col min="3079" max="3079" width="18.109375" style="619" customWidth="1"/>
    <col min="3080" max="3080" width="18.6640625" style="619" customWidth="1"/>
    <col min="3081" max="3081" width="20.6640625" style="619" customWidth="1"/>
    <col min="3082" max="3327" width="11.44140625" style="619" customWidth="1"/>
    <col min="3328" max="3328" width="10" style="619"/>
    <col min="3329" max="3329" width="8" style="619" customWidth="1"/>
    <col min="3330" max="3330" width="64.88671875" style="619" customWidth="1"/>
    <col min="3331" max="3332" width="11.44140625" style="619" customWidth="1"/>
    <col min="3333" max="3333" width="14.109375" style="619" customWidth="1"/>
    <col min="3334" max="3334" width="19.33203125" style="619" customWidth="1"/>
    <col min="3335" max="3335" width="18.109375" style="619" customWidth="1"/>
    <col min="3336" max="3336" width="18.6640625" style="619" customWidth="1"/>
    <col min="3337" max="3337" width="20.6640625" style="619" customWidth="1"/>
    <col min="3338" max="3583" width="11.44140625" style="619" customWidth="1"/>
    <col min="3584" max="3584" width="10" style="619"/>
    <col min="3585" max="3585" width="8" style="619" customWidth="1"/>
    <col min="3586" max="3586" width="64.88671875" style="619" customWidth="1"/>
    <col min="3587" max="3588" width="11.44140625" style="619" customWidth="1"/>
    <col min="3589" max="3589" width="14.109375" style="619" customWidth="1"/>
    <col min="3590" max="3590" width="19.33203125" style="619" customWidth="1"/>
    <col min="3591" max="3591" width="18.109375" style="619" customWidth="1"/>
    <col min="3592" max="3592" width="18.6640625" style="619" customWidth="1"/>
    <col min="3593" max="3593" width="20.6640625" style="619" customWidth="1"/>
    <col min="3594" max="3839" width="11.44140625" style="619" customWidth="1"/>
    <col min="3840" max="3840" width="10" style="619"/>
    <col min="3841" max="3841" width="8" style="619" customWidth="1"/>
    <col min="3842" max="3842" width="64.88671875" style="619" customWidth="1"/>
    <col min="3843" max="3844" width="11.44140625" style="619" customWidth="1"/>
    <col min="3845" max="3845" width="14.109375" style="619" customWidth="1"/>
    <col min="3846" max="3846" width="19.33203125" style="619" customWidth="1"/>
    <col min="3847" max="3847" width="18.109375" style="619" customWidth="1"/>
    <col min="3848" max="3848" width="18.6640625" style="619" customWidth="1"/>
    <col min="3849" max="3849" width="20.6640625" style="619" customWidth="1"/>
    <col min="3850" max="4095" width="11.44140625" style="619" customWidth="1"/>
    <col min="4096" max="4096" width="10" style="619"/>
    <col min="4097" max="4097" width="8" style="619" customWidth="1"/>
    <col min="4098" max="4098" width="64.88671875" style="619" customWidth="1"/>
    <col min="4099" max="4100" width="11.44140625" style="619" customWidth="1"/>
    <col min="4101" max="4101" width="14.109375" style="619" customWidth="1"/>
    <col min="4102" max="4102" width="19.33203125" style="619" customWidth="1"/>
    <col min="4103" max="4103" width="18.109375" style="619" customWidth="1"/>
    <col min="4104" max="4104" width="18.6640625" style="619" customWidth="1"/>
    <col min="4105" max="4105" width="20.6640625" style="619" customWidth="1"/>
    <col min="4106" max="4351" width="11.44140625" style="619" customWidth="1"/>
    <col min="4352" max="4352" width="10" style="619"/>
    <col min="4353" max="4353" width="8" style="619" customWidth="1"/>
    <col min="4354" max="4354" width="64.88671875" style="619" customWidth="1"/>
    <col min="4355" max="4356" width="11.44140625" style="619" customWidth="1"/>
    <col min="4357" max="4357" width="14.109375" style="619" customWidth="1"/>
    <col min="4358" max="4358" width="19.33203125" style="619" customWidth="1"/>
    <col min="4359" max="4359" width="18.109375" style="619" customWidth="1"/>
    <col min="4360" max="4360" width="18.6640625" style="619" customWidth="1"/>
    <col min="4361" max="4361" width="20.6640625" style="619" customWidth="1"/>
    <col min="4362" max="4607" width="11.44140625" style="619" customWidth="1"/>
    <col min="4608" max="4608" width="10" style="619"/>
    <col min="4609" max="4609" width="8" style="619" customWidth="1"/>
    <col min="4610" max="4610" width="64.88671875" style="619" customWidth="1"/>
    <col min="4611" max="4612" width="11.44140625" style="619" customWidth="1"/>
    <col min="4613" max="4613" width="14.109375" style="619" customWidth="1"/>
    <col min="4614" max="4614" width="19.33203125" style="619" customWidth="1"/>
    <col min="4615" max="4615" width="18.109375" style="619" customWidth="1"/>
    <col min="4616" max="4616" width="18.6640625" style="619" customWidth="1"/>
    <col min="4617" max="4617" width="20.6640625" style="619" customWidth="1"/>
    <col min="4618" max="4863" width="11.44140625" style="619" customWidth="1"/>
    <col min="4864" max="4864" width="10" style="619"/>
    <col min="4865" max="4865" width="8" style="619" customWidth="1"/>
    <col min="4866" max="4866" width="64.88671875" style="619" customWidth="1"/>
    <col min="4867" max="4868" width="11.44140625" style="619" customWidth="1"/>
    <col min="4869" max="4869" width="14.109375" style="619" customWidth="1"/>
    <col min="4870" max="4870" width="19.33203125" style="619" customWidth="1"/>
    <col min="4871" max="4871" width="18.109375" style="619" customWidth="1"/>
    <col min="4872" max="4872" width="18.6640625" style="619" customWidth="1"/>
    <col min="4873" max="4873" width="20.6640625" style="619" customWidth="1"/>
    <col min="4874" max="5119" width="11.44140625" style="619" customWidth="1"/>
    <col min="5120" max="5120" width="10" style="619"/>
    <col min="5121" max="5121" width="8" style="619" customWidth="1"/>
    <col min="5122" max="5122" width="64.88671875" style="619" customWidth="1"/>
    <col min="5123" max="5124" width="11.44140625" style="619" customWidth="1"/>
    <col min="5125" max="5125" width="14.109375" style="619" customWidth="1"/>
    <col min="5126" max="5126" width="19.33203125" style="619" customWidth="1"/>
    <col min="5127" max="5127" width="18.109375" style="619" customWidth="1"/>
    <col min="5128" max="5128" width="18.6640625" style="619" customWidth="1"/>
    <col min="5129" max="5129" width="20.6640625" style="619" customWidth="1"/>
    <col min="5130" max="5375" width="11.44140625" style="619" customWidth="1"/>
    <col min="5376" max="5376" width="10" style="619"/>
    <col min="5377" max="5377" width="8" style="619" customWidth="1"/>
    <col min="5378" max="5378" width="64.88671875" style="619" customWidth="1"/>
    <col min="5379" max="5380" width="11.44140625" style="619" customWidth="1"/>
    <col min="5381" max="5381" width="14.109375" style="619" customWidth="1"/>
    <col min="5382" max="5382" width="19.33203125" style="619" customWidth="1"/>
    <col min="5383" max="5383" width="18.109375" style="619" customWidth="1"/>
    <col min="5384" max="5384" width="18.6640625" style="619" customWidth="1"/>
    <col min="5385" max="5385" width="20.6640625" style="619" customWidth="1"/>
    <col min="5386" max="5631" width="11.44140625" style="619" customWidth="1"/>
    <col min="5632" max="5632" width="10" style="619"/>
    <col min="5633" max="5633" width="8" style="619" customWidth="1"/>
    <col min="5634" max="5634" width="64.88671875" style="619" customWidth="1"/>
    <col min="5635" max="5636" width="11.44140625" style="619" customWidth="1"/>
    <col min="5637" max="5637" width="14.109375" style="619" customWidth="1"/>
    <col min="5638" max="5638" width="19.33203125" style="619" customWidth="1"/>
    <col min="5639" max="5639" width="18.109375" style="619" customWidth="1"/>
    <col min="5640" max="5640" width="18.6640625" style="619" customWidth="1"/>
    <col min="5641" max="5641" width="20.6640625" style="619" customWidth="1"/>
    <col min="5642" max="5887" width="11.44140625" style="619" customWidth="1"/>
    <col min="5888" max="5888" width="10" style="619"/>
    <col min="5889" max="5889" width="8" style="619" customWidth="1"/>
    <col min="5890" max="5890" width="64.88671875" style="619" customWidth="1"/>
    <col min="5891" max="5892" width="11.44140625" style="619" customWidth="1"/>
    <col min="5893" max="5893" width="14.109375" style="619" customWidth="1"/>
    <col min="5894" max="5894" width="19.33203125" style="619" customWidth="1"/>
    <col min="5895" max="5895" width="18.109375" style="619" customWidth="1"/>
    <col min="5896" max="5896" width="18.6640625" style="619" customWidth="1"/>
    <col min="5897" max="5897" width="20.6640625" style="619" customWidth="1"/>
    <col min="5898" max="6143" width="11.44140625" style="619" customWidth="1"/>
    <col min="6144" max="6144" width="10" style="619"/>
    <col min="6145" max="6145" width="8" style="619" customWidth="1"/>
    <col min="6146" max="6146" width="64.88671875" style="619" customWidth="1"/>
    <col min="6147" max="6148" width="11.44140625" style="619" customWidth="1"/>
    <col min="6149" max="6149" width="14.109375" style="619" customWidth="1"/>
    <col min="6150" max="6150" width="19.33203125" style="619" customWidth="1"/>
    <col min="6151" max="6151" width="18.109375" style="619" customWidth="1"/>
    <col min="6152" max="6152" width="18.6640625" style="619" customWidth="1"/>
    <col min="6153" max="6153" width="20.6640625" style="619" customWidth="1"/>
    <col min="6154" max="6399" width="11.44140625" style="619" customWidth="1"/>
    <col min="6400" max="6400" width="10" style="619"/>
    <col min="6401" max="6401" width="8" style="619" customWidth="1"/>
    <col min="6402" max="6402" width="64.88671875" style="619" customWidth="1"/>
    <col min="6403" max="6404" width="11.44140625" style="619" customWidth="1"/>
    <col min="6405" max="6405" width="14.109375" style="619" customWidth="1"/>
    <col min="6406" max="6406" width="19.33203125" style="619" customWidth="1"/>
    <col min="6407" max="6407" width="18.109375" style="619" customWidth="1"/>
    <col min="6408" max="6408" width="18.6640625" style="619" customWidth="1"/>
    <col min="6409" max="6409" width="20.6640625" style="619" customWidth="1"/>
    <col min="6410" max="6655" width="11.44140625" style="619" customWidth="1"/>
    <col min="6656" max="6656" width="10" style="619"/>
    <col min="6657" max="6657" width="8" style="619" customWidth="1"/>
    <col min="6658" max="6658" width="64.88671875" style="619" customWidth="1"/>
    <col min="6659" max="6660" width="11.44140625" style="619" customWidth="1"/>
    <col min="6661" max="6661" width="14.109375" style="619" customWidth="1"/>
    <col min="6662" max="6662" width="19.33203125" style="619" customWidth="1"/>
    <col min="6663" max="6663" width="18.109375" style="619" customWidth="1"/>
    <col min="6664" max="6664" width="18.6640625" style="619" customWidth="1"/>
    <col min="6665" max="6665" width="20.6640625" style="619" customWidth="1"/>
    <col min="6666" max="6911" width="11.44140625" style="619" customWidth="1"/>
    <col min="6912" max="6912" width="10" style="619"/>
    <col min="6913" max="6913" width="8" style="619" customWidth="1"/>
    <col min="6914" max="6914" width="64.88671875" style="619" customWidth="1"/>
    <col min="6915" max="6916" width="11.44140625" style="619" customWidth="1"/>
    <col min="6917" max="6917" width="14.109375" style="619" customWidth="1"/>
    <col min="6918" max="6918" width="19.33203125" style="619" customWidth="1"/>
    <col min="6919" max="6919" width="18.109375" style="619" customWidth="1"/>
    <col min="6920" max="6920" width="18.6640625" style="619" customWidth="1"/>
    <col min="6921" max="6921" width="20.6640625" style="619" customWidth="1"/>
    <col min="6922" max="7167" width="11.44140625" style="619" customWidth="1"/>
    <col min="7168" max="7168" width="10" style="619"/>
    <col min="7169" max="7169" width="8" style="619" customWidth="1"/>
    <col min="7170" max="7170" width="64.88671875" style="619" customWidth="1"/>
    <col min="7171" max="7172" width="11.44140625" style="619" customWidth="1"/>
    <col min="7173" max="7173" width="14.109375" style="619" customWidth="1"/>
    <col min="7174" max="7174" width="19.33203125" style="619" customWidth="1"/>
    <col min="7175" max="7175" width="18.109375" style="619" customWidth="1"/>
    <col min="7176" max="7176" width="18.6640625" style="619" customWidth="1"/>
    <col min="7177" max="7177" width="20.6640625" style="619" customWidth="1"/>
    <col min="7178" max="7423" width="11.44140625" style="619" customWidth="1"/>
    <col min="7424" max="7424" width="10" style="619"/>
    <col min="7425" max="7425" width="8" style="619" customWidth="1"/>
    <col min="7426" max="7426" width="64.88671875" style="619" customWidth="1"/>
    <col min="7427" max="7428" width="11.44140625" style="619" customWidth="1"/>
    <col min="7429" max="7429" width="14.109375" style="619" customWidth="1"/>
    <col min="7430" max="7430" width="19.33203125" style="619" customWidth="1"/>
    <col min="7431" max="7431" width="18.109375" style="619" customWidth="1"/>
    <col min="7432" max="7432" width="18.6640625" style="619" customWidth="1"/>
    <col min="7433" max="7433" width="20.6640625" style="619" customWidth="1"/>
    <col min="7434" max="7679" width="11.44140625" style="619" customWidth="1"/>
    <col min="7680" max="7680" width="10" style="619"/>
    <col min="7681" max="7681" width="8" style="619" customWidth="1"/>
    <col min="7682" max="7682" width="64.88671875" style="619" customWidth="1"/>
    <col min="7683" max="7684" width="11.44140625" style="619" customWidth="1"/>
    <col min="7685" max="7685" width="14.109375" style="619" customWidth="1"/>
    <col min="7686" max="7686" width="19.33203125" style="619" customWidth="1"/>
    <col min="7687" max="7687" width="18.109375" style="619" customWidth="1"/>
    <col min="7688" max="7688" width="18.6640625" style="619" customWidth="1"/>
    <col min="7689" max="7689" width="20.6640625" style="619" customWidth="1"/>
    <col min="7690" max="7935" width="11.44140625" style="619" customWidth="1"/>
    <col min="7936" max="7936" width="10" style="619"/>
    <col min="7937" max="7937" width="8" style="619" customWidth="1"/>
    <col min="7938" max="7938" width="64.88671875" style="619" customWidth="1"/>
    <col min="7939" max="7940" width="11.44140625" style="619" customWidth="1"/>
    <col min="7941" max="7941" width="14.109375" style="619" customWidth="1"/>
    <col min="7942" max="7942" width="19.33203125" style="619" customWidth="1"/>
    <col min="7943" max="7943" width="18.109375" style="619" customWidth="1"/>
    <col min="7944" max="7944" width="18.6640625" style="619" customWidth="1"/>
    <col min="7945" max="7945" width="20.6640625" style="619" customWidth="1"/>
    <col min="7946" max="8191" width="11.44140625" style="619" customWidth="1"/>
    <col min="8192" max="8192" width="10" style="619"/>
    <col min="8193" max="8193" width="8" style="619" customWidth="1"/>
    <col min="8194" max="8194" width="64.88671875" style="619" customWidth="1"/>
    <col min="8195" max="8196" width="11.44140625" style="619" customWidth="1"/>
    <col min="8197" max="8197" width="14.109375" style="619" customWidth="1"/>
    <col min="8198" max="8198" width="19.33203125" style="619" customWidth="1"/>
    <col min="8199" max="8199" width="18.109375" style="619" customWidth="1"/>
    <col min="8200" max="8200" width="18.6640625" style="619" customWidth="1"/>
    <col min="8201" max="8201" width="20.6640625" style="619" customWidth="1"/>
    <col min="8202" max="8447" width="11.44140625" style="619" customWidth="1"/>
    <col min="8448" max="8448" width="10" style="619"/>
    <col min="8449" max="8449" width="8" style="619" customWidth="1"/>
    <col min="8450" max="8450" width="64.88671875" style="619" customWidth="1"/>
    <col min="8451" max="8452" width="11.44140625" style="619" customWidth="1"/>
    <col min="8453" max="8453" width="14.109375" style="619" customWidth="1"/>
    <col min="8454" max="8454" width="19.33203125" style="619" customWidth="1"/>
    <col min="8455" max="8455" width="18.109375" style="619" customWidth="1"/>
    <col min="8456" max="8456" width="18.6640625" style="619" customWidth="1"/>
    <col min="8457" max="8457" width="20.6640625" style="619" customWidth="1"/>
    <col min="8458" max="8703" width="11.44140625" style="619" customWidth="1"/>
    <col min="8704" max="8704" width="10" style="619"/>
    <col min="8705" max="8705" width="8" style="619" customWidth="1"/>
    <col min="8706" max="8706" width="64.88671875" style="619" customWidth="1"/>
    <col min="8707" max="8708" width="11.44140625" style="619" customWidth="1"/>
    <col min="8709" max="8709" width="14.109375" style="619" customWidth="1"/>
    <col min="8710" max="8710" width="19.33203125" style="619" customWidth="1"/>
    <col min="8711" max="8711" width="18.109375" style="619" customWidth="1"/>
    <col min="8712" max="8712" width="18.6640625" style="619" customWidth="1"/>
    <col min="8713" max="8713" width="20.6640625" style="619" customWidth="1"/>
    <col min="8714" max="8959" width="11.44140625" style="619" customWidth="1"/>
    <col min="8960" max="8960" width="10" style="619"/>
    <col min="8961" max="8961" width="8" style="619" customWidth="1"/>
    <col min="8962" max="8962" width="64.88671875" style="619" customWidth="1"/>
    <col min="8963" max="8964" width="11.44140625" style="619" customWidth="1"/>
    <col min="8965" max="8965" width="14.109375" style="619" customWidth="1"/>
    <col min="8966" max="8966" width="19.33203125" style="619" customWidth="1"/>
    <col min="8967" max="8967" width="18.109375" style="619" customWidth="1"/>
    <col min="8968" max="8968" width="18.6640625" style="619" customWidth="1"/>
    <col min="8969" max="8969" width="20.6640625" style="619" customWidth="1"/>
    <col min="8970" max="9215" width="11.44140625" style="619" customWidth="1"/>
    <col min="9216" max="9216" width="10" style="619"/>
    <col min="9217" max="9217" width="8" style="619" customWidth="1"/>
    <col min="9218" max="9218" width="64.88671875" style="619" customWidth="1"/>
    <col min="9219" max="9220" width="11.44140625" style="619" customWidth="1"/>
    <col min="9221" max="9221" width="14.109375" style="619" customWidth="1"/>
    <col min="9222" max="9222" width="19.33203125" style="619" customWidth="1"/>
    <col min="9223" max="9223" width="18.109375" style="619" customWidth="1"/>
    <col min="9224" max="9224" width="18.6640625" style="619" customWidth="1"/>
    <col min="9225" max="9225" width="20.6640625" style="619" customWidth="1"/>
    <col min="9226" max="9471" width="11.44140625" style="619" customWidth="1"/>
    <col min="9472" max="9472" width="10" style="619"/>
    <col min="9473" max="9473" width="8" style="619" customWidth="1"/>
    <col min="9474" max="9474" width="64.88671875" style="619" customWidth="1"/>
    <col min="9475" max="9476" width="11.44140625" style="619" customWidth="1"/>
    <col min="9477" max="9477" width="14.109375" style="619" customWidth="1"/>
    <col min="9478" max="9478" width="19.33203125" style="619" customWidth="1"/>
    <col min="9479" max="9479" width="18.109375" style="619" customWidth="1"/>
    <col min="9480" max="9480" width="18.6640625" style="619" customWidth="1"/>
    <col min="9481" max="9481" width="20.6640625" style="619" customWidth="1"/>
    <col min="9482" max="9727" width="11.44140625" style="619" customWidth="1"/>
    <col min="9728" max="9728" width="10" style="619"/>
    <col min="9729" max="9729" width="8" style="619" customWidth="1"/>
    <col min="9730" max="9730" width="64.88671875" style="619" customWidth="1"/>
    <col min="9731" max="9732" width="11.44140625" style="619" customWidth="1"/>
    <col min="9733" max="9733" width="14.109375" style="619" customWidth="1"/>
    <col min="9734" max="9734" width="19.33203125" style="619" customWidth="1"/>
    <col min="9735" max="9735" width="18.109375" style="619" customWidth="1"/>
    <col min="9736" max="9736" width="18.6640625" style="619" customWidth="1"/>
    <col min="9737" max="9737" width="20.6640625" style="619" customWidth="1"/>
    <col min="9738" max="9983" width="11.44140625" style="619" customWidth="1"/>
    <col min="9984" max="9984" width="10" style="619"/>
    <col min="9985" max="9985" width="8" style="619" customWidth="1"/>
    <col min="9986" max="9986" width="64.88671875" style="619" customWidth="1"/>
    <col min="9987" max="9988" width="11.44140625" style="619" customWidth="1"/>
    <col min="9989" max="9989" width="14.109375" style="619" customWidth="1"/>
    <col min="9990" max="9990" width="19.33203125" style="619" customWidth="1"/>
    <col min="9991" max="9991" width="18.109375" style="619" customWidth="1"/>
    <col min="9992" max="9992" width="18.6640625" style="619" customWidth="1"/>
    <col min="9993" max="9993" width="20.6640625" style="619" customWidth="1"/>
    <col min="9994" max="10239" width="11.44140625" style="619" customWidth="1"/>
    <col min="10240" max="10240" width="10" style="619"/>
    <col min="10241" max="10241" width="8" style="619" customWidth="1"/>
    <col min="10242" max="10242" width="64.88671875" style="619" customWidth="1"/>
    <col min="10243" max="10244" width="11.44140625" style="619" customWidth="1"/>
    <col min="10245" max="10245" width="14.109375" style="619" customWidth="1"/>
    <col min="10246" max="10246" width="19.33203125" style="619" customWidth="1"/>
    <col min="10247" max="10247" width="18.109375" style="619" customWidth="1"/>
    <col min="10248" max="10248" width="18.6640625" style="619" customWidth="1"/>
    <col min="10249" max="10249" width="20.6640625" style="619" customWidth="1"/>
    <col min="10250" max="10495" width="11.44140625" style="619" customWidth="1"/>
    <col min="10496" max="10496" width="10" style="619"/>
    <col min="10497" max="10497" width="8" style="619" customWidth="1"/>
    <col min="10498" max="10498" width="64.88671875" style="619" customWidth="1"/>
    <col min="10499" max="10500" width="11.44140625" style="619" customWidth="1"/>
    <col min="10501" max="10501" width="14.109375" style="619" customWidth="1"/>
    <col min="10502" max="10502" width="19.33203125" style="619" customWidth="1"/>
    <col min="10503" max="10503" width="18.109375" style="619" customWidth="1"/>
    <col min="10504" max="10504" width="18.6640625" style="619" customWidth="1"/>
    <col min="10505" max="10505" width="20.6640625" style="619" customWidth="1"/>
    <col min="10506" max="10751" width="11.44140625" style="619" customWidth="1"/>
    <col min="10752" max="10752" width="10" style="619"/>
    <col min="10753" max="10753" width="8" style="619" customWidth="1"/>
    <col min="10754" max="10754" width="64.88671875" style="619" customWidth="1"/>
    <col min="10755" max="10756" width="11.44140625" style="619" customWidth="1"/>
    <col min="10757" max="10757" width="14.109375" style="619" customWidth="1"/>
    <col min="10758" max="10758" width="19.33203125" style="619" customWidth="1"/>
    <col min="10759" max="10759" width="18.109375" style="619" customWidth="1"/>
    <col min="10760" max="10760" width="18.6640625" style="619" customWidth="1"/>
    <col min="10761" max="10761" width="20.6640625" style="619" customWidth="1"/>
    <col min="10762" max="11007" width="11.44140625" style="619" customWidth="1"/>
    <col min="11008" max="11008" width="10" style="619"/>
    <col min="11009" max="11009" width="8" style="619" customWidth="1"/>
    <col min="11010" max="11010" width="64.88671875" style="619" customWidth="1"/>
    <col min="11011" max="11012" width="11.44140625" style="619" customWidth="1"/>
    <col min="11013" max="11013" width="14.109375" style="619" customWidth="1"/>
    <col min="11014" max="11014" width="19.33203125" style="619" customWidth="1"/>
    <col min="11015" max="11015" width="18.109375" style="619" customWidth="1"/>
    <col min="11016" max="11016" width="18.6640625" style="619" customWidth="1"/>
    <col min="11017" max="11017" width="20.6640625" style="619" customWidth="1"/>
    <col min="11018" max="11263" width="11.44140625" style="619" customWidth="1"/>
    <col min="11264" max="11264" width="10" style="619"/>
    <col min="11265" max="11265" width="8" style="619" customWidth="1"/>
    <col min="11266" max="11266" width="64.88671875" style="619" customWidth="1"/>
    <col min="11267" max="11268" width="11.44140625" style="619" customWidth="1"/>
    <col min="11269" max="11269" width="14.109375" style="619" customWidth="1"/>
    <col min="11270" max="11270" width="19.33203125" style="619" customWidth="1"/>
    <col min="11271" max="11271" width="18.109375" style="619" customWidth="1"/>
    <col min="11272" max="11272" width="18.6640625" style="619" customWidth="1"/>
    <col min="11273" max="11273" width="20.6640625" style="619" customWidth="1"/>
    <col min="11274" max="11519" width="11.44140625" style="619" customWidth="1"/>
    <col min="11520" max="11520" width="10" style="619"/>
    <col min="11521" max="11521" width="8" style="619" customWidth="1"/>
    <col min="11522" max="11522" width="64.88671875" style="619" customWidth="1"/>
    <col min="11523" max="11524" width="11.44140625" style="619" customWidth="1"/>
    <col min="11525" max="11525" width="14.109375" style="619" customWidth="1"/>
    <col min="11526" max="11526" width="19.33203125" style="619" customWidth="1"/>
    <col min="11527" max="11527" width="18.109375" style="619" customWidth="1"/>
    <col min="11528" max="11528" width="18.6640625" style="619" customWidth="1"/>
    <col min="11529" max="11529" width="20.6640625" style="619" customWidth="1"/>
    <col min="11530" max="11775" width="11.44140625" style="619" customWidth="1"/>
    <col min="11776" max="11776" width="10" style="619"/>
    <col min="11777" max="11777" width="8" style="619" customWidth="1"/>
    <col min="11778" max="11778" width="64.88671875" style="619" customWidth="1"/>
    <col min="11779" max="11780" width="11.44140625" style="619" customWidth="1"/>
    <col min="11781" max="11781" width="14.109375" style="619" customWidth="1"/>
    <col min="11782" max="11782" width="19.33203125" style="619" customWidth="1"/>
    <col min="11783" max="11783" width="18.109375" style="619" customWidth="1"/>
    <col min="11784" max="11784" width="18.6640625" style="619" customWidth="1"/>
    <col min="11785" max="11785" width="20.6640625" style="619" customWidth="1"/>
    <col min="11786" max="12031" width="11.44140625" style="619" customWidth="1"/>
    <col min="12032" max="12032" width="10" style="619"/>
    <col min="12033" max="12033" width="8" style="619" customWidth="1"/>
    <col min="12034" max="12034" width="64.88671875" style="619" customWidth="1"/>
    <col min="12035" max="12036" width="11.44140625" style="619" customWidth="1"/>
    <col min="12037" max="12037" width="14.109375" style="619" customWidth="1"/>
    <col min="12038" max="12038" width="19.33203125" style="619" customWidth="1"/>
    <col min="12039" max="12039" width="18.109375" style="619" customWidth="1"/>
    <col min="12040" max="12040" width="18.6640625" style="619" customWidth="1"/>
    <col min="12041" max="12041" width="20.6640625" style="619" customWidth="1"/>
    <col min="12042" max="12287" width="11.44140625" style="619" customWidth="1"/>
    <col min="12288" max="12288" width="10" style="619"/>
    <col min="12289" max="12289" width="8" style="619" customWidth="1"/>
    <col min="12290" max="12290" width="64.88671875" style="619" customWidth="1"/>
    <col min="12291" max="12292" width="11.44140625" style="619" customWidth="1"/>
    <col min="12293" max="12293" width="14.109375" style="619" customWidth="1"/>
    <col min="12294" max="12294" width="19.33203125" style="619" customWidth="1"/>
    <col min="12295" max="12295" width="18.109375" style="619" customWidth="1"/>
    <col min="12296" max="12296" width="18.6640625" style="619" customWidth="1"/>
    <col min="12297" max="12297" width="20.6640625" style="619" customWidth="1"/>
    <col min="12298" max="12543" width="11.44140625" style="619" customWidth="1"/>
    <col min="12544" max="12544" width="10" style="619"/>
    <col min="12545" max="12545" width="8" style="619" customWidth="1"/>
    <col min="12546" max="12546" width="64.88671875" style="619" customWidth="1"/>
    <col min="12547" max="12548" width="11.44140625" style="619" customWidth="1"/>
    <col min="12549" max="12549" width="14.109375" style="619" customWidth="1"/>
    <col min="12550" max="12550" width="19.33203125" style="619" customWidth="1"/>
    <col min="12551" max="12551" width="18.109375" style="619" customWidth="1"/>
    <col min="12552" max="12552" width="18.6640625" style="619" customWidth="1"/>
    <col min="12553" max="12553" width="20.6640625" style="619" customWidth="1"/>
    <col min="12554" max="12799" width="11.44140625" style="619" customWidth="1"/>
    <col min="12800" max="12800" width="10" style="619"/>
    <col min="12801" max="12801" width="8" style="619" customWidth="1"/>
    <col min="12802" max="12802" width="64.88671875" style="619" customWidth="1"/>
    <col min="12803" max="12804" width="11.44140625" style="619" customWidth="1"/>
    <col min="12805" max="12805" width="14.109375" style="619" customWidth="1"/>
    <col min="12806" max="12806" width="19.33203125" style="619" customWidth="1"/>
    <col min="12807" max="12807" width="18.109375" style="619" customWidth="1"/>
    <col min="12808" max="12808" width="18.6640625" style="619" customWidth="1"/>
    <col min="12809" max="12809" width="20.6640625" style="619" customWidth="1"/>
    <col min="12810" max="13055" width="11.44140625" style="619" customWidth="1"/>
    <col min="13056" max="13056" width="10" style="619"/>
    <col min="13057" max="13057" width="8" style="619" customWidth="1"/>
    <col min="13058" max="13058" width="64.88671875" style="619" customWidth="1"/>
    <col min="13059" max="13060" width="11.44140625" style="619" customWidth="1"/>
    <col min="13061" max="13061" width="14.109375" style="619" customWidth="1"/>
    <col min="13062" max="13062" width="19.33203125" style="619" customWidth="1"/>
    <col min="13063" max="13063" width="18.109375" style="619" customWidth="1"/>
    <col min="13064" max="13064" width="18.6640625" style="619" customWidth="1"/>
    <col min="13065" max="13065" width="20.6640625" style="619" customWidth="1"/>
    <col min="13066" max="13311" width="11.44140625" style="619" customWidth="1"/>
    <col min="13312" max="13312" width="10" style="619"/>
    <col min="13313" max="13313" width="8" style="619" customWidth="1"/>
    <col min="13314" max="13314" width="64.88671875" style="619" customWidth="1"/>
    <col min="13315" max="13316" width="11.44140625" style="619" customWidth="1"/>
    <col min="13317" max="13317" width="14.109375" style="619" customWidth="1"/>
    <col min="13318" max="13318" width="19.33203125" style="619" customWidth="1"/>
    <col min="13319" max="13319" width="18.109375" style="619" customWidth="1"/>
    <col min="13320" max="13320" width="18.6640625" style="619" customWidth="1"/>
    <col min="13321" max="13321" width="20.6640625" style="619" customWidth="1"/>
    <col min="13322" max="13567" width="11.44140625" style="619" customWidth="1"/>
    <col min="13568" max="13568" width="10" style="619"/>
    <col min="13569" max="13569" width="8" style="619" customWidth="1"/>
    <col min="13570" max="13570" width="64.88671875" style="619" customWidth="1"/>
    <col min="13571" max="13572" width="11.44140625" style="619" customWidth="1"/>
    <col min="13573" max="13573" width="14.109375" style="619" customWidth="1"/>
    <col min="13574" max="13574" width="19.33203125" style="619" customWidth="1"/>
    <col min="13575" max="13575" width="18.109375" style="619" customWidth="1"/>
    <col min="13576" max="13576" width="18.6640625" style="619" customWidth="1"/>
    <col min="13577" max="13577" width="20.6640625" style="619" customWidth="1"/>
    <col min="13578" max="13823" width="11.44140625" style="619" customWidth="1"/>
    <col min="13824" max="13824" width="10" style="619"/>
    <col min="13825" max="13825" width="8" style="619" customWidth="1"/>
    <col min="13826" max="13826" width="64.88671875" style="619" customWidth="1"/>
    <col min="13827" max="13828" width="11.44140625" style="619" customWidth="1"/>
    <col min="13829" max="13829" width="14.109375" style="619" customWidth="1"/>
    <col min="13830" max="13830" width="19.33203125" style="619" customWidth="1"/>
    <col min="13831" max="13831" width="18.109375" style="619" customWidth="1"/>
    <col min="13832" max="13832" width="18.6640625" style="619" customWidth="1"/>
    <col min="13833" max="13833" width="20.6640625" style="619" customWidth="1"/>
    <col min="13834" max="14079" width="11.44140625" style="619" customWidth="1"/>
    <col min="14080" max="14080" width="10" style="619"/>
    <col min="14081" max="14081" width="8" style="619" customWidth="1"/>
    <col min="14082" max="14082" width="64.88671875" style="619" customWidth="1"/>
    <col min="14083" max="14084" width="11.44140625" style="619" customWidth="1"/>
    <col min="14085" max="14085" width="14.109375" style="619" customWidth="1"/>
    <col min="14086" max="14086" width="19.33203125" style="619" customWidth="1"/>
    <col min="14087" max="14087" width="18.109375" style="619" customWidth="1"/>
    <col min="14088" max="14088" width="18.6640625" style="619" customWidth="1"/>
    <col min="14089" max="14089" width="20.6640625" style="619" customWidth="1"/>
    <col min="14090" max="14335" width="11.44140625" style="619" customWidth="1"/>
    <col min="14336" max="14336" width="10" style="619"/>
    <col min="14337" max="14337" width="8" style="619" customWidth="1"/>
    <col min="14338" max="14338" width="64.88671875" style="619" customWidth="1"/>
    <col min="14339" max="14340" width="11.44140625" style="619" customWidth="1"/>
    <col min="14341" max="14341" width="14.109375" style="619" customWidth="1"/>
    <col min="14342" max="14342" width="19.33203125" style="619" customWidth="1"/>
    <col min="14343" max="14343" width="18.109375" style="619" customWidth="1"/>
    <col min="14344" max="14344" width="18.6640625" style="619" customWidth="1"/>
    <col min="14345" max="14345" width="20.6640625" style="619" customWidth="1"/>
    <col min="14346" max="14591" width="11.44140625" style="619" customWidth="1"/>
    <col min="14592" max="14592" width="10" style="619"/>
    <col min="14593" max="14593" width="8" style="619" customWidth="1"/>
    <col min="14594" max="14594" width="64.88671875" style="619" customWidth="1"/>
    <col min="14595" max="14596" width="11.44140625" style="619" customWidth="1"/>
    <col min="14597" max="14597" width="14.109375" style="619" customWidth="1"/>
    <col min="14598" max="14598" width="19.33203125" style="619" customWidth="1"/>
    <col min="14599" max="14599" width="18.109375" style="619" customWidth="1"/>
    <col min="14600" max="14600" width="18.6640625" style="619" customWidth="1"/>
    <col min="14601" max="14601" width="20.6640625" style="619" customWidth="1"/>
    <col min="14602" max="14847" width="11.44140625" style="619" customWidth="1"/>
    <col min="14848" max="14848" width="10" style="619"/>
    <col min="14849" max="14849" width="8" style="619" customWidth="1"/>
    <col min="14850" max="14850" width="64.88671875" style="619" customWidth="1"/>
    <col min="14851" max="14852" width="11.44140625" style="619" customWidth="1"/>
    <col min="14853" max="14853" width="14.109375" style="619" customWidth="1"/>
    <col min="14854" max="14854" width="19.33203125" style="619" customWidth="1"/>
    <col min="14855" max="14855" width="18.109375" style="619" customWidth="1"/>
    <col min="14856" max="14856" width="18.6640625" style="619" customWidth="1"/>
    <col min="14857" max="14857" width="20.6640625" style="619" customWidth="1"/>
    <col min="14858" max="15103" width="11.44140625" style="619" customWidth="1"/>
    <col min="15104" max="15104" width="10" style="619"/>
    <col min="15105" max="15105" width="8" style="619" customWidth="1"/>
    <col min="15106" max="15106" width="64.88671875" style="619" customWidth="1"/>
    <col min="15107" max="15108" width="11.44140625" style="619" customWidth="1"/>
    <col min="15109" max="15109" width="14.109375" style="619" customWidth="1"/>
    <col min="15110" max="15110" width="19.33203125" style="619" customWidth="1"/>
    <col min="15111" max="15111" width="18.109375" style="619" customWidth="1"/>
    <col min="15112" max="15112" width="18.6640625" style="619" customWidth="1"/>
    <col min="15113" max="15113" width="20.6640625" style="619" customWidth="1"/>
    <col min="15114" max="15359" width="11.44140625" style="619" customWidth="1"/>
    <col min="15360" max="15360" width="10" style="619"/>
    <col min="15361" max="15361" width="8" style="619" customWidth="1"/>
    <col min="15362" max="15362" width="64.88671875" style="619" customWidth="1"/>
    <col min="15363" max="15364" width="11.44140625" style="619" customWidth="1"/>
    <col min="15365" max="15365" width="14.109375" style="619" customWidth="1"/>
    <col min="15366" max="15366" width="19.33203125" style="619" customWidth="1"/>
    <col min="15367" max="15367" width="18.109375" style="619" customWidth="1"/>
    <col min="15368" max="15368" width="18.6640625" style="619" customWidth="1"/>
    <col min="15369" max="15369" width="20.6640625" style="619" customWidth="1"/>
    <col min="15370" max="15615" width="11.44140625" style="619" customWidth="1"/>
    <col min="15616" max="15616" width="10" style="619"/>
    <col min="15617" max="15617" width="8" style="619" customWidth="1"/>
    <col min="15618" max="15618" width="64.88671875" style="619" customWidth="1"/>
    <col min="15619" max="15620" width="11.44140625" style="619" customWidth="1"/>
    <col min="15621" max="15621" width="14.109375" style="619" customWidth="1"/>
    <col min="15622" max="15622" width="19.33203125" style="619" customWidth="1"/>
    <col min="15623" max="15623" width="18.109375" style="619" customWidth="1"/>
    <col min="15624" max="15624" width="18.6640625" style="619" customWidth="1"/>
    <col min="15625" max="15625" width="20.6640625" style="619" customWidth="1"/>
    <col min="15626" max="15871" width="11.44140625" style="619" customWidth="1"/>
    <col min="15872" max="15872" width="10" style="619"/>
    <col min="15873" max="15873" width="8" style="619" customWidth="1"/>
    <col min="15874" max="15874" width="64.88671875" style="619" customWidth="1"/>
    <col min="15875" max="15876" width="11.44140625" style="619" customWidth="1"/>
    <col min="15877" max="15877" width="14.109375" style="619" customWidth="1"/>
    <col min="15878" max="15878" width="19.33203125" style="619" customWidth="1"/>
    <col min="15879" max="15879" width="18.109375" style="619" customWidth="1"/>
    <col min="15880" max="15880" width="18.6640625" style="619" customWidth="1"/>
    <col min="15881" max="15881" width="20.6640625" style="619" customWidth="1"/>
    <col min="15882" max="16127" width="11.44140625" style="619" customWidth="1"/>
    <col min="16128" max="16128" width="10" style="619"/>
    <col min="16129" max="16129" width="8" style="619" customWidth="1"/>
    <col min="16130" max="16130" width="64.88671875" style="619" customWidth="1"/>
    <col min="16131" max="16132" width="11.44140625" style="619" customWidth="1"/>
    <col min="16133" max="16133" width="14.109375" style="619" customWidth="1"/>
    <col min="16134" max="16134" width="19.33203125" style="619" customWidth="1"/>
    <col min="16135" max="16135" width="18.109375" style="619" customWidth="1"/>
    <col min="16136" max="16136" width="18.6640625" style="619" customWidth="1"/>
    <col min="16137" max="16137" width="20.6640625" style="619" customWidth="1"/>
    <col min="16138" max="16383" width="11.44140625" style="619" customWidth="1"/>
    <col min="16384" max="16384" width="10" style="619"/>
  </cols>
  <sheetData>
    <row r="2" spans="1:12">
      <c r="A2" s="3"/>
      <c r="C2" s="1"/>
      <c r="D2" s="1"/>
      <c r="E2" s="1"/>
    </row>
    <row r="3" spans="1:12" ht="17.399999999999999">
      <c r="C3" s="620" t="s">
        <v>5</v>
      </c>
      <c r="D3" s="621"/>
      <c r="E3" s="4"/>
    </row>
    <row r="4" spans="1:12" ht="17.399999999999999">
      <c r="C4" s="622" t="s">
        <v>6</v>
      </c>
      <c r="D4" s="622"/>
      <c r="E4" s="1"/>
    </row>
    <row r="5" spans="1:12">
      <c r="C5" s="5"/>
      <c r="D5" s="4"/>
      <c r="E5" s="4"/>
    </row>
    <row r="6" spans="1:12">
      <c r="A6" s="623" t="s">
        <v>805</v>
      </c>
      <c r="C6" s="1"/>
      <c r="D6" s="1"/>
      <c r="E6" s="1"/>
    </row>
    <row r="7" spans="1:12">
      <c r="A7" s="619"/>
    </row>
    <row r="8" spans="1:12" ht="13.8">
      <c r="A8" s="803" t="s">
        <v>733</v>
      </c>
      <c r="B8" s="803"/>
      <c r="C8" s="803"/>
      <c r="D8" s="803"/>
      <c r="E8" s="803"/>
      <c r="F8" s="803"/>
    </row>
    <row r="9" spans="1:12" ht="13.8">
      <c r="A9" s="803"/>
      <c r="B9" s="803"/>
      <c r="C9" s="803"/>
      <c r="D9" s="803"/>
      <c r="E9" s="803"/>
      <c r="F9" s="803"/>
    </row>
    <row r="10" spans="1:12" ht="18" thickBot="1">
      <c r="A10" s="625"/>
      <c r="B10" s="625"/>
      <c r="C10" s="625"/>
      <c r="D10" s="625"/>
      <c r="E10" s="625"/>
      <c r="F10" s="625"/>
    </row>
    <row r="11" spans="1:12" ht="16.8">
      <c r="A11" s="829" t="s">
        <v>793</v>
      </c>
      <c r="B11" s="830"/>
      <c r="C11" s="830"/>
      <c r="D11" s="830"/>
      <c r="E11" s="830"/>
      <c r="F11" s="831"/>
    </row>
    <row r="12" spans="1:12" ht="7.8" customHeight="1">
      <c r="A12" s="832"/>
      <c r="B12" s="833"/>
      <c r="C12" s="833"/>
      <c r="D12" s="833"/>
      <c r="E12" s="833"/>
      <c r="F12" s="834"/>
    </row>
    <row r="13" spans="1:12" s="627" customFormat="1" ht="16.8">
      <c r="A13" s="835" t="s">
        <v>794</v>
      </c>
      <c r="B13" s="836"/>
      <c r="C13" s="836"/>
      <c r="D13" s="836"/>
      <c r="E13" s="836"/>
      <c r="F13" s="837"/>
      <c r="G13" s="626"/>
      <c r="H13" s="619"/>
      <c r="I13" s="619"/>
      <c r="J13" s="619"/>
      <c r="K13" s="619"/>
      <c r="L13" s="619"/>
    </row>
    <row r="14" spans="1:12" ht="16.8" thickBot="1">
      <c r="A14" s="838" t="s">
        <v>795</v>
      </c>
      <c r="B14" s="839"/>
      <c r="C14" s="839"/>
      <c r="D14" s="839"/>
      <c r="E14" s="839"/>
      <c r="F14" s="840"/>
    </row>
    <row r="15" spans="1:12" ht="17.399999999999999" thickBot="1">
      <c r="A15" s="785"/>
      <c r="B15" s="790"/>
      <c r="C15" s="790"/>
      <c r="D15" s="790"/>
      <c r="E15" s="790"/>
      <c r="F15" s="791"/>
    </row>
    <row r="16" spans="1:12">
      <c r="A16" s="817" t="s">
        <v>798</v>
      </c>
      <c r="B16" s="818"/>
      <c r="C16" s="818"/>
      <c r="D16" s="818"/>
      <c r="E16" s="818"/>
      <c r="F16" s="819"/>
    </row>
    <row r="17" spans="1:13" ht="8.4" customHeight="1">
      <c r="A17" s="820"/>
      <c r="B17" s="821"/>
      <c r="C17" s="821"/>
      <c r="D17" s="821"/>
      <c r="E17" s="821"/>
      <c r="F17" s="822"/>
    </row>
    <row r="18" spans="1:13">
      <c r="A18" s="823" t="s">
        <v>790</v>
      </c>
      <c r="B18" s="824"/>
      <c r="C18" s="824"/>
      <c r="D18" s="824"/>
      <c r="E18" s="824"/>
      <c r="F18" s="825"/>
    </row>
    <row r="19" spans="1:13">
      <c r="A19" s="826" t="s">
        <v>802</v>
      </c>
      <c r="B19" s="827"/>
      <c r="C19" s="827"/>
      <c r="D19" s="827"/>
      <c r="E19" s="827"/>
      <c r="F19" s="828"/>
    </row>
    <row r="20" spans="1:13">
      <c r="A20" s="823" t="s">
        <v>791</v>
      </c>
      <c r="B20" s="824"/>
      <c r="C20" s="824"/>
      <c r="D20" s="824"/>
      <c r="E20" s="824"/>
      <c r="F20" s="825"/>
    </row>
    <row r="21" spans="1:13">
      <c r="A21" s="826" t="s">
        <v>803</v>
      </c>
      <c r="B21" s="827"/>
      <c r="C21" s="827"/>
      <c r="D21" s="827"/>
      <c r="E21" s="827"/>
      <c r="F21" s="828"/>
    </row>
    <row r="22" spans="1:13">
      <c r="A22" s="823" t="s">
        <v>792</v>
      </c>
      <c r="B22" s="824"/>
      <c r="C22" s="824"/>
      <c r="D22" s="824"/>
      <c r="E22" s="824"/>
      <c r="F22" s="825"/>
    </row>
    <row r="23" spans="1:13">
      <c r="A23" s="826" t="s">
        <v>804</v>
      </c>
      <c r="B23" s="827"/>
      <c r="C23" s="827"/>
      <c r="D23" s="827"/>
      <c r="E23" s="827"/>
      <c r="F23" s="828"/>
    </row>
    <row r="24" spans="1:13" ht="8.4" customHeight="1" thickBot="1">
      <c r="A24" s="787"/>
      <c r="B24" s="788"/>
      <c r="C24" s="788"/>
      <c r="D24" s="788"/>
      <c r="E24" s="788"/>
      <c r="F24" s="789"/>
    </row>
    <row r="25" spans="1:13" s="627" customFormat="1" ht="15.6" thickBot="1">
      <c r="A25" s="786"/>
      <c r="B25" s="786"/>
      <c r="C25" s="786"/>
      <c r="D25" s="786"/>
      <c r="E25" s="786"/>
      <c r="F25" s="786"/>
      <c r="G25" s="626"/>
      <c r="H25" s="619"/>
      <c r="I25" s="619"/>
      <c r="J25" s="619"/>
      <c r="K25" s="619"/>
      <c r="L25" s="619"/>
    </row>
    <row r="26" spans="1:13" s="627" customFormat="1" ht="14.4" thickBot="1">
      <c r="A26" s="553" t="s">
        <v>691</v>
      </c>
      <c r="B26" s="554"/>
      <c r="C26" s="554"/>
      <c r="D26" s="554"/>
      <c r="E26" s="554"/>
      <c r="F26" s="555"/>
      <c r="G26" s="626"/>
      <c r="H26" s="619"/>
      <c r="I26" s="619"/>
      <c r="J26" s="619"/>
      <c r="K26" s="619"/>
      <c r="L26" s="619"/>
    </row>
    <row r="27" spans="1:13" s="627" customFormat="1" ht="15.6" thickBot="1">
      <c r="A27" s="628" t="s">
        <v>709</v>
      </c>
      <c r="B27" s="629" t="s">
        <v>14</v>
      </c>
      <c r="C27" s="629" t="s">
        <v>56</v>
      </c>
      <c r="D27" s="629" t="s">
        <v>220</v>
      </c>
      <c r="E27" s="630" t="s">
        <v>710</v>
      </c>
      <c r="F27" s="631" t="s">
        <v>711</v>
      </c>
      <c r="G27" s="626"/>
      <c r="H27" s="619"/>
      <c r="I27" s="619"/>
      <c r="J27" s="619"/>
      <c r="K27" s="619"/>
      <c r="L27" s="619"/>
    </row>
    <row r="28" spans="1:13" s="627" customFormat="1" ht="15.6" thickBot="1">
      <c r="A28" s="632" t="s">
        <v>712</v>
      </c>
      <c r="B28" s="633"/>
      <c r="C28" s="634"/>
      <c r="D28" s="635"/>
      <c r="E28" s="636"/>
      <c r="F28" s="637"/>
      <c r="G28" s="626"/>
      <c r="H28" s="627">
        <f>760+1390</f>
        <v>2150</v>
      </c>
      <c r="J28" s="627">
        <v>2136.65</v>
      </c>
      <c r="K28" s="627">
        <v>3431.65</v>
      </c>
      <c r="L28" s="627">
        <v>80.400000000000006</v>
      </c>
      <c r="M28" s="627">
        <v>1295</v>
      </c>
    </row>
    <row r="29" spans="1:13" s="627" customFormat="1">
      <c r="A29" s="766" t="s">
        <v>29</v>
      </c>
      <c r="B29" s="767" t="s">
        <v>713</v>
      </c>
      <c r="C29" s="768" t="s">
        <v>321</v>
      </c>
      <c r="D29" s="769">
        <v>1</v>
      </c>
      <c r="E29" s="770">
        <f>'Nouveau DQE'!I18</f>
        <v>60730000</v>
      </c>
      <c r="F29" s="769">
        <f>+E29*D29</f>
        <v>60730000</v>
      </c>
      <c r="G29" s="626"/>
      <c r="J29" s="627" t="s">
        <v>746</v>
      </c>
      <c r="K29" s="627" t="s">
        <v>747</v>
      </c>
      <c r="L29" s="627" t="s">
        <v>749</v>
      </c>
      <c r="M29" s="627" t="s">
        <v>748</v>
      </c>
    </row>
    <row r="30" spans="1:13">
      <c r="A30" s="771" t="s">
        <v>734</v>
      </c>
      <c r="B30" s="772" t="s">
        <v>714</v>
      </c>
      <c r="C30" s="773" t="s">
        <v>28</v>
      </c>
      <c r="D30" s="774">
        <v>1</v>
      </c>
      <c r="E30" s="775">
        <f>'Nouveau DQE'!I19</f>
        <v>20410000</v>
      </c>
      <c r="F30" s="774">
        <f>E30*D30</f>
        <v>20410000</v>
      </c>
      <c r="G30" s="626"/>
    </row>
    <row r="31" spans="1:13" s="627" customFormat="1">
      <c r="A31" s="776" t="s">
        <v>735</v>
      </c>
      <c r="B31" s="777" t="s">
        <v>33</v>
      </c>
      <c r="C31" s="778" t="s">
        <v>321</v>
      </c>
      <c r="D31" s="779">
        <v>1</v>
      </c>
      <c r="E31" s="780">
        <f>SUM('Nouveau DQE'!G21:G26)</f>
        <v>79920000</v>
      </c>
      <c r="F31" s="779">
        <f>+E31*D31</f>
        <v>79920000</v>
      </c>
      <c r="G31" s="626"/>
    </row>
    <row r="32" spans="1:13" s="627" customFormat="1">
      <c r="A32" s="792" t="s">
        <v>736</v>
      </c>
      <c r="B32" s="793" t="s">
        <v>737</v>
      </c>
      <c r="C32" s="794" t="s">
        <v>321</v>
      </c>
      <c r="D32" s="795">
        <v>1</v>
      </c>
      <c r="E32" s="796">
        <f>SUM('Nouveau DQE'!G46,'Nouveau DQE'!G73,'Nouveau DQE'!G190)</f>
        <v>164077922.33333331</v>
      </c>
      <c r="F32" s="795">
        <f>+E32*D32</f>
        <v>164077922.33333331</v>
      </c>
      <c r="G32" s="626"/>
    </row>
    <row r="33" spans="1:14" s="627" customFormat="1" ht="7.8" customHeight="1" thickBot="1">
      <c r="A33" s="781"/>
      <c r="B33" s="782"/>
      <c r="C33" s="783"/>
      <c r="D33" s="783"/>
      <c r="E33" s="783"/>
      <c r="F33" s="784"/>
      <c r="G33" s="626"/>
    </row>
    <row r="34" spans="1:14" ht="15.6" thickBot="1">
      <c r="A34" s="638" t="s">
        <v>745</v>
      </c>
      <c r="B34" s="639"/>
      <c r="C34" s="639"/>
      <c r="D34" s="639"/>
      <c r="E34" s="640"/>
      <c r="F34" s="631">
        <f>SUM(F29:F33)</f>
        <v>325137922.33333331</v>
      </c>
      <c r="G34" s="763">
        <f>F34/$K$34/8*7</f>
        <v>222043677.35016048</v>
      </c>
      <c r="H34" s="642">
        <f>G34/G59</f>
        <v>8.3608022719214733E-2</v>
      </c>
      <c r="K34" s="643">
        <v>1.2812600000000001</v>
      </c>
      <c r="L34" s="619" t="s">
        <v>715</v>
      </c>
    </row>
    <row r="35" spans="1:14" s="627" customFormat="1" ht="15.6" thickBot="1">
      <c r="A35" s="644"/>
      <c r="B35" s="645"/>
      <c r="C35" s="645"/>
      <c r="D35" s="645"/>
      <c r="E35" s="645"/>
      <c r="F35" s="646"/>
      <c r="G35" s="763"/>
      <c r="H35" s="647"/>
    </row>
    <row r="36" spans="1:14" s="627" customFormat="1" ht="15.6" thickBot="1">
      <c r="A36" s="648" t="s">
        <v>738</v>
      </c>
      <c r="B36" s="649"/>
      <c r="C36" s="649"/>
      <c r="D36" s="649"/>
      <c r="E36" s="714"/>
      <c r="F36" s="631">
        <f>'Nouveau DQE'!G316</f>
        <v>1583424029.5431094</v>
      </c>
      <c r="G36" s="763">
        <f>F36/$K$34/8*7</f>
        <v>1081354312.0445662</v>
      </c>
      <c r="H36" s="642"/>
      <c r="K36" s="650">
        <f>F36/K34</f>
        <v>1235833499.4795041</v>
      </c>
      <c r="L36" s="651" t="s">
        <v>716</v>
      </c>
      <c r="N36" s="723"/>
    </row>
    <row r="37" spans="1:14" s="627" customFormat="1" ht="15.6" thickBot="1">
      <c r="A37" s="747" t="s">
        <v>739</v>
      </c>
      <c r="B37" s="748"/>
      <c r="C37" s="748"/>
      <c r="D37" s="748"/>
      <c r="E37" s="749"/>
      <c r="F37" s="750">
        <f>SUM('Nouveau DQE'!I289,'Nouveau DQE'!I295:I297,)</f>
        <v>415417972.61723721</v>
      </c>
      <c r="G37" s="763">
        <f>F37/$K$34/8*7</f>
        <v>283697864.63331604</v>
      </c>
      <c r="H37" s="642">
        <f>G37/$G$59</f>
        <v>0.10682320611295645</v>
      </c>
      <c r="N37" s="725"/>
    </row>
    <row r="38" spans="1:14" ht="7.2" customHeight="1">
      <c r="A38" s="652"/>
      <c r="B38" s="653"/>
      <c r="C38" s="654"/>
      <c r="D38" s="655"/>
      <c r="E38" s="656"/>
      <c r="F38" s="657"/>
      <c r="G38" s="763"/>
      <c r="H38" s="647"/>
      <c r="N38" s="727"/>
    </row>
    <row r="39" spans="1:14" s="627" customFormat="1" ht="15.6" thickBot="1">
      <c r="A39" s="751" t="s">
        <v>740</v>
      </c>
      <c r="B39" s="752"/>
      <c r="C39" s="752"/>
      <c r="D39" s="752"/>
      <c r="E39" s="753"/>
      <c r="F39" s="754">
        <f>SUM('Nouveau DQE'!I309,'Nouveau DQE'!I303:I307,'Nouveau DQE'!I290)</f>
        <v>1042522110.6134521</v>
      </c>
      <c r="G39" s="763">
        <f>F39/$K$34/8*7</f>
        <v>711960762.67640495</v>
      </c>
      <c r="H39" s="642">
        <f>G39/$G$59</f>
        <v>0.26808073227488044</v>
      </c>
    </row>
    <row r="40" spans="1:14" ht="7.2" customHeight="1">
      <c r="A40" s="652"/>
      <c r="B40" s="653"/>
      <c r="C40" s="654"/>
      <c r="D40" s="655"/>
      <c r="E40" s="656"/>
      <c r="F40" s="657"/>
      <c r="G40" s="763"/>
      <c r="H40" s="647"/>
    </row>
    <row r="41" spans="1:14" s="627" customFormat="1" ht="15.6" thickBot="1">
      <c r="A41" s="797" t="s">
        <v>744</v>
      </c>
      <c r="B41" s="798"/>
      <c r="C41" s="798"/>
      <c r="D41" s="798"/>
      <c r="E41" s="799"/>
      <c r="F41" s="745">
        <f>SUM('Nouveau DQE'!I291,'Nouveau DQE'!I298)</f>
        <v>125483946.31242037</v>
      </c>
      <c r="G41" s="763">
        <f>F41/$K$34/8*7</f>
        <v>85695684.734845251</v>
      </c>
      <c r="H41" s="642">
        <f>G41/$G$59</f>
        <v>3.2267735977686583E-2</v>
      </c>
      <c r="K41" s="626">
        <f>F41+F39+F37</f>
        <v>1583424029.5431094</v>
      </c>
    </row>
    <row r="42" spans="1:14" ht="15.6" thickBot="1">
      <c r="A42" s="568"/>
      <c r="B42" s="569"/>
      <c r="C42" s="569"/>
      <c r="D42" s="569"/>
      <c r="E42" s="569"/>
      <c r="F42" s="570"/>
      <c r="G42" s="763"/>
      <c r="H42" s="647"/>
    </row>
    <row r="43" spans="1:14" ht="15.6" thickBot="1">
      <c r="A43" s="648" t="s">
        <v>780</v>
      </c>
      <c r="B43" s="649"/>
      <c r="C43" s="649"/>
      <c r="D43" s="649"/>
      <c r="E43" s="714"/>
      <c r="F43" s="631">
        <f>+F44+F46+F48</f>
        <v>1590529039</v>
      </c>
      <c r="G43" s="763">
        <f>F43/$K$34/8*7</f>
        <v>1086206475.7543354</v>
      </c>
      <c r="H43" s="647"/>
    </row>
    <row r="44" spans="1:14" s="627" customFormat="1" ht="15.6" thickBot="1">
      <c r="A44" s="747" t="s">
        <v>739</v>
      </c>
      <c r="B44" s="748"/>
      <c r="C44" s="748"/>
      <c r="D44" s="748"/>
      <c r="E44" s="749"/>
      <c r="F44" s="750">
        <f>+'Nouveau DQE'!J440</f>
        <v>106427650</v>
      </c>
      <c r="G44" s="763">
        <f>F44/$K$34/8*7</f>
        <v>72681730.28893432</v>
      </c>
      <c r="H44" s="642">
        <f>G44/$G$59</f>
        <v>2.7367479361666527E-2</v>
      </c>
    </row>
    <row r="45" spans="1:14" ht="7.2" customHeight="1" thickBot="1">
      <c r="A45" s="661"/>
      <c r="B45" s="662"/>
      <c r="C45" s="663"/>
      <c r="D45" s="664"/>
      <c r="E45" s="665"/>
      <c r="F45" s="666"/>
      <c r="G45" s="763"/>
      <c r="H45" s="642"/>
    </row>
    <row r="46" spans="1:14" s="627" customFormat="1" ht="15.6" thickBot="1">
      <c r="A46" s="751" t="s">
        <v>740</v>
      </c>
      <c r="B46" s="752"/>
      <c r="C46" s="752"/>
      <c r="D46" s="752"/>
      <c r="E46" s="753"/>
      <c r="F46" s="754">
        <f>+'Nouveau DQE'!J425</f>
        <v>2816640</v>
      </c>
      <c r="G46" s="763">
        <f>F46/$K$34/8*7</f>
        <v>1923544.0113638137</v>
      </c>
      <c r="H46" s="642">
        <f>G46/$G$59</f>
        <v>7.2428863241126161E-4</v>
      </c>
    </row>
    <row r="47" spans="1:14" ht="7.2" customHeight="1" thickBot="1">
      <c r="A47" s="661"/>
      <c r="B47" s="662"/>
      <c r="C47" s="663"/>
      <c r="D47" s="664"/>
      <c r="E47" s="665"/>
      <c r="F47" s="666"/>
      <c r="G47" s="763"/>
      <c r="H47" s="642"/>
    </row>
    <row r="48" spans="1:14" s="627" customFormat="1" ht="15.6" thickBot="1">
      <c r="A48" s="797" t="s">
        <v>744</v>
      </c>
      <c r="B48" s="798"/>
      <c r="C48" s="798"/>
      <c r="D48" s="798"/>
      <c r="E48" s="799"/>
      <c r="F48" s="745">
        <f>+'Nouveau DQE'!J346</f>
        <v>1481284749</v>
      </c>
      <c r="G48" s="763">
        <f>F48/$K$34/8*7</f>
        <v>1011601201.4540373</v>
      </c>
      <c r="H48" s="642">
        <f>G48/$G$59</f>
        <v>0.38090693346145366</v>
      </c>
    </row>
    <row r="49" spans="1:12" ht="15.6" thickBot="1">
      <c r="A49" s="568"/>
      <c r="B49" s="569"/>
      <c r="C49" s="569"/>
      <c r="D49" s="569"/>
      <c r="E49" s="569"/>
      <c r="F49" s="570"/>
      <c r="G49" s="763"/>
      <c r="H49" s="647"/>
    </row>
    <row r="50" spans="1:12" ht="15.6" thickBot="1">
      <c r="A50" s="648" t="s">
        <v>782</v>
      </c>
      <c r="B50" s="649"/>
      <c r="C50" s="649"/>
      <c r="D50" s="649"/>
      <c r="E50" s="714"/>
      <c r="F50" s="631">
        <f>SUM(F51:F57)</f>
        <v>389745412.0065521</v>
      </c>
      <c r="G50" s="763">
        <f>F50/$K$34/8*7</f>
        <v>266165521.05406636</v>
      </c>
      <c r="H50" s="647"/>
      <c r="L50" s="670">
        <f>G50/$G$59</f>
        <v>0.10022160142964288</v>
      </c>
    </row>
    <row r="51" spans="1:12" s="627" customFormat="1" ht="15.6" thickBot="1">
      <c r="A51" s="658" t="s">
        <v>785</v>
      </c>
      <c r="B51" s="659"/>
      <c r="C51" s="671"/>
      <c r="D51" s="672"/>
      <c r="E51" s="673"/>
      <c r="F51" s="660">
        <f>+'Nouveau DQE'!G562</f>
        <v>50874162.006552085</v>
      </c>
      <c r="G51" s="763">
        <f>F51/$K$34/8*7</f>
        <v>34743058.985477634</v>
      </c>
      <c r="H51" s="642">
        <f>G51/$G$59</f>
        <v>1.3082103934047155E-2</v>
      </c>
    </row>
    <row r="52" spans="1:12" ht="7.2" customHeight="1" thickBot="1">
      <c r="A52" s="674"/>
      <c r="B52" s="675"/>
      <c r="C52" s="676"/>
      <c r="D52" s="677"/>
      <c r="E52" s="678"/>
      <c r="F52" s="666"/>
      <c r="G52" s="763"/>
      <c r="H52" s="642"/>
    </row>
    <row r="53" spans="1:12" s="627" customFormat="1" ht="15.6" thickBot="1">
      <c r="A53" s="667" t="s">
        <v>784</v>
      </c>
      <c r="B53" s="668"/>
      <c r="C53" s="679"/>
      <c r="D53" s="680"/>
      <c r="E53" s="681"/>
      <c r="F53" s="669">
        <f>+'Nouveau DQE'!G573</f>
        <v>230000000</v>
      </c>
      <c r="G53" s="763">
        <f>F53/$K$34/8*7</f>
        <v>157071944.80433321</v>
      </c>
      <c r="H53" s="642">
        <f>G53/$G$59</f>
        <v>5.9143655367597622E-2</v>
      </c>
    </row>
    <row r="54" spans="1:12" ht="7.2" customHeight="1" thickBot="1">
      <c r="A54" s="674"/>
      <c r="B54" s="675"/>
      <c r="C54" s="676"/>
      <c r="D54" s="677"/>
      <c r="E54" s="678"/>
      <c r="F54" s="666"/>
      <c r="G54" s="763"/>
      <c r="H54" s="642"/>
    </row>
    <row r="55" spans="1:12" s="627" customFormat="1" ht="15.6" thickBot="1">
      <c r="A55" s="667" t="s">
        <v>783</v>
      </c>
      <c r="B55" s="668"/>
      <c r="C55" s="679"/>
      <c r="D55" s="680"/>
      <c r="E55" s="681"/>
      <c r="F55" s="669">
        <f>+'Nouveau DQE'!G575</f>
        <v>83871250</v>
      </c>
      <c r="G55" s="763">
        <f>F55/$K$34/8*7</f>
        <v>57277479.785523623</v>
      </c>
      <c r="H55" s="642">
        <f>G55/$G$59</f>
        <v>2.1567183935867925E-2</v>
      </c>
    </row>
    <row r="56" spans="1:12" ht="7.2" customHeight="1" thickBot="1">
      <c r="A56" s="674"/>
      <c r="B56" s="675"/>
      <c r="C56" s="676"/>
      <c r="D56" s="677"/>
      <c r="E56" s="678"/>
      <c r="F56" s="666"/>
      <c r="G56" s="763"/>
      <c r="H56" s="642"/>
    </row>
    <row r="57" spans="1:12" s="627" customFormat="1" ht="15.6" thickBot="1">
      <c r="A57" s="797" t="s">
        <v>797</v>
      </c>
      <c r="B57" s="798"/>
      <c r="C57" s="800"/>
      <c r="D57" s="801"/>
      <c r="E57" s="802"/>
      <c r="F57" s="762">
        <f>+'Nouveau DQE'!G620</f>
        <v>25000000</v>
      </c>
      <c r="G57" s="763">
        <f>F57/$K$34/8*7</f>
        <v>17073037.478731874</v>
      </c>
      <c r="H57" s="642">
        <f>G57/$G$59</f>
        <v>6.4286581921301775E-3</v>
      </c>
    </row>
    <row r="58" spans="1:12" ht="15.6" thickBot="1">
      <c r="A58" s="808"/>
      <c r="B58" s="809"/>
      <c r="C58" s="809"/>
      <c r="D58" s="809"/>
      <c r="E58" s="809"/>
      <c r="F58" s="810"/>
      <c r="G58" s="641"/>
      <c r="H58" s="642"/>
    </row>
    <row r="59" spans="1:12" ht="17.399999999999999" thickBot="1">
      <c r="A59" s="811" t="s">
        <v>717</v>
      </c>
      <c r="B59" s="812"/>
      <c r="C59" s="812"/>
      <c r="D59" s="812"/>
      <c r="E59" s="813"/>
      <c r="F59" s="814">
        <f>ROUNDUP(+F50+F43+F36+F34,0)</f>
        <v>3888836403</v>
      </c>
      <c r="G59" s="618">
        <f>F59/$K$34/8*7</f>
        <v>2655769986.2830338</v>
      </c>
      <c r="H59" s="682">
        <f>+SUM(H57,H55,H53,H51,H48,H46,H44,H41,H39,H37,H36,H34)</f>
        <v>0.99999999996991251</v>
      </c>
      <c r="L59" s="683" t="s">
        <v>718</v>
      </c>
    </row>
    <row r="60" spans="1:12" ht="17.399999999999999" thickBot="1">
      <c r="A60" s="811" t="s">
        <v>719</v>
      </c>
      <c r="B60" s="812"/>
      <c r="C60" s="812"/>
      <c r="D60" s="812"/>
      <c r="E60" s="813"/>
      <c r="F60" s="815">
        <f>+F59*0.01</f>
        <v>38888364.030000001</v>
      </c>
      <c r="H60" s="618"/>
    </row>
    <row r="61" spans="1:12" ht="17.399999999999999" thickBot="1">
      <c r="A61" s="811" t="s">
        <v>112</v>
      </c>
      <c r="B61" s="812"/>
      <c r="C61" s="812"/>
      <c r="D61" s="812"/>
      <c r="E61" s="813"/>
      <c r="F61" s="815">
        <f>+F59*0.18</f>
        <v>699990552.53999996</v>
      </c>
      <c r="H61" s="618"/>
    </row>
    <row r="62" spans="1:12" ht="17.399999999999999" thickBot="1">
      <c r="A62" s="811" t="s">
        <v>720</v>
      </c>
      <c r="B62" s="812"/>
      <c r="C62" s="812"/>
      <c r="D62" s="812"/>
      <c r="E62" s="813"/>
      <c r="F62" s="816">
        <f>SUM(F59:F61)</f>
        <v>4627715319.5699997</v>
      </c>
    </row>
    <row r="63" spans="1:12">
      <c r="A63" s="532" t="s">
        <v>786</v>
      </c>
    </row>
    <row r="64" spans="1:12">
      <c r="A64" s="804" t="s">
        <v>788</v>
      </c>
      <c r="B64" s="805"/>
    </row>
    <row r="65" spans="1:6">
      <c r="A65" s="806" t="s">
        <v>789</v>
      </c>
      <c r="B65" s="807"/>
    </row>
    <row r="66" spans="1:6">
      <c r="A66" s="764" t="s">
        <v>787</v>
      </c>
      <c r="B66" s="765"/>
    </row>
    <row r="67" spans="1:6">
      <c r="A67" s="619"/>
      <c r="B67" s="619"/>
    </row>
    <row r="68" spans="1:6" ht="16.8">
      <c r="A68" s="234"/>
      <c r="B68" s="684" t="s">
        <v>721</v>
      </c>
      <c r="C68" s="234"/>
      <c r="D68" s="234"/>
      <c r="E68" s="685"/>
      <c r="F68" s="686"/>
    </row>
    <row r="69" spans="1:6" ht="13.8">
      <c r="A69" s="687"/>
      <c r="B69" s="688"/>
      <c r="C69" s="234"/>
      <c r="D69" s="234"/>
      <c r="E69" s="685"/>
      <c r="F69" s="686"/>
    </row>
    <row r="70" spans="1:6" ht="17.399999999999999">
      <c r="A70" s="687"/>
      <c r="B70" s="689" t="s">
        <v>722</v>
      </c>
      <c r="C70" s="234"/>
      <c r="D70" s="234"/>
      <c r="E70" s="685"/>
      <c r="F70" s="686"/>
    </row>
    <row r="71" spans="1:6" ht="17.399999999999999">
      <c r="A71" s="687"/>
      <c r="B71" s="689"/>
      <c r="C71" s="234"/>
      <c r="D71" s="234"/>
      <c r="E71" s="685"/>
      <c r="F71" s="686"/>
    </row>
    <row r="72" spans="1:6" ht="15" customHeight="1">
      <c r="A72" s="690" t="s">
        <v>801</v>
      </c>
      <c r="B72" s="690"/>
      <c r="C72" s="690"/>
      <c r="D72" s="690"/>
      <c r="E72" s="690"/>
      <c r="F72" s="690"/>
    </row>
    <row r="73" spans="1:6" ht="13.8">
      <c r="A73" s="690"/>
      <c r="B73" s="690"/>
      <c r="C73" s="690"/>
      <c r="D73" s="690"/>
      <c r="E73" s="690"/>
      <c r="F73" s="690"/>
    </row>
    <row r="74" spans="1:6" ht="13.8">
      <c r="A74" s="691"/>
      <c r="B74" s="691"/>
      <c r="C74" s="691"/>
      <c r="D74" s="691"/>
      <c r="E74" s="691"/>
      <c r="F74" s="691"/>
    </row>
    <row r="102" spans="6:6">
      <c r="F102" s="617">
        <v>95000</v>
      </c>
    </row>
    <row r="103" spans="6:6">
      <c r="F103" s="617">
        <v>30000</v>
      </c>
    </row>
    <row r="114" spans="6:6">
      <c r="F114" s="617">
        <v>28000</v>
      </c>
    </row>
    <row r="151" spans="6:7">
      <c r="G151" s="618" t="e">
        <f>SUM(G138,G126,G114,G104,G103,G153,G102,G101,G96,G88,G77,#REF!,#REF!+G147)</f>
        <v>#REF!</v>
      </c>
    </row>
    <row r="153" spans="6:7">
      <c r="F153" s="617">
        <v>90000</v>
      </c>
    </row>
    <row r="168" spans="6:6">
      <c r="F168" s="617">
        <v>190000000</v>
      </c>
    </row>
    <row r="184" spans="1:7" s="623" customFormat="1">
      <c r="A184" s="692"/>
      <c r="B184" s="692"/>
      <c r="C184" s="693"/>
      <c r="D184" s="693"/>
      <c r="E184" s="694"/>
      <c r="F184" s="694"/>
      <c r="G184" s="695">
        <f>SUM(G153,G158,G162,G168,G174,G179,G180)</f>
        <v>0</v>
      </c>
    </row>
    <row r="185" spans="1:7" s="623" customFormat="1">
      <c r="A185" s="696"/>
      <c r="B185" s="696"/>
      <c r="C185" s="697"/>
      <c r="D185" s="697"/>
      <c r="E185" s="698"/>
      <c r="F185" s="699" t="s">
        <v>723</v>
      </c>
      <c r="G185" s="700" t="e">
        <f>G184+G151</f>
        <v>#REF!</v>
      </c>
    </row>
    <row r="186" spans="1:7">
      <c r="F186" s="701"/>
    </row>
    <row r="187" spans="1:7">
      <c r="A187" s="702" t="s">
        <v>724</v>
      </c>
      <c r="B187" s="702"/>
      <c r="C187" s="703"/>
      <c r="D187" s="703"/>
      <c r="E187" s="704"/>
      <c r="F187" s="704"/>
      <c r="G187" s="705"/>
    </row>
    <row r="298" spans="1:7">
      <c r="A298" s="616">
        <v>502</v>
      </c>
    </row>
    <row r="303" spans="1:7">
      <c r="A303" s="616">
        <v>503</v>
      </c>
    </row>
    <row r="304" spans="1:7" s="623" customFormat="1">
      <c r="A304" s="692"/>
      <c r="B304" s="692"/>
      <c r="C304" s="693"/>
      <c r="D304" s="693"/>
      <c r="E304" s="694"/>
      <c r="F304" s="706" t="s">
        <v>725</v>
      </c>
      <c r="G304" s="695">
        <f>G282+G298+G303</f>
        <v>0</v>
      </c>
    </row>
    <row r="305" spans="1:7" s="623" customFormat="1">
      <c r="A305" s="692"/>
      <c r="B305" s="692"/>
      <c r="C305" s="693"/>
      <c r="D305" s="693"/>
      <c r="E305" s="694"/>
      <c r="F305" s="706"/>
      <c r="G305" s="695"/>
    </row>
    <row r="306" spans="1:7" s="623" customFormat="1">
      <c r="A306" s="696"/>
      <c r="B306" s="696"/>
      <c r="C306" s="697"/>
      <c r="D306" s="697"/>
      <c r="E306" s="698"/>
      <c r="F306" s="699" t="s">
        <v>726</v>
      </c>
      <c r="G306" s="700">
        <f>G304+G280</f>
        <v>0</v>
      </c>
    </row>
    <row r="307" spans="1:7" s="623" customFormat="1">
      <c r="A307" s="696"/>
      <c r="B307" s="696"/>
      <c r="C307" s="697"/>
      <c r="D307" s="697"/>
      <c r="E307" s="698"/>
      <c r="F307" s="699"/>
      <c r="G307" s="700"/>
    </row>
    <row r="308" spans="1:7">
      <c r="A308" s="707" t="s">
        <v>727</v>
      </c>
      <c r="B308" s="692"/>
    </row>
    <row r="309" spans="1:7">
      <c r="B309" s="616" t="s">
        <v>728</v>
      </c>
    </row>
    <row r="310" spans="1:7">
      <c r="B310" s="616" t="s">
        <v>729</v>
      </c>
    </row>
    <row r="311" spans="1:7">
      <c r="A311" s="616">
        <v>303</v>
      </c>
    </row>
    <row r="313" spans="1:7">
      <c r="B313" s="616" t="s">
        <v>730</v>
      </c>
    </row>
    <row r="314" spans="1:7">
      <c r="B314" s="616" t="s">
        <v>731</v>
      </c>
    </row>
    <row r="318" spans="1:7">
      <c r="B318" s="616" t="s">
        <v>732</v>
      </c>
    </row>
    <row r="321" spans="1:7">
      <c r="A321" s="708" t="s">
        <v>727</v>
      </c>
      <c r="B321" s="709"/>
      <c r="C321" s="709"/>
      <c r="D321" s="709"/>
      <c r="E321" s="709"/>
      <c r="F321" s="709"/>
      <c r="G321" s="705">
        <f>G309+G310+G311+G312+G313+G314+G318</f>
        <v>0</v>
      </c>
    </row>
    <row r="322" spans="1:7">
      <c r="G322" s="618" t="e">
        <f>G321+G306+G185+G72</f>
        <v>#REF!</v>
      </c>
    </row>
  </sheetData>
  <mergeCells count="41">
    <mergeCell ref="A66:B66"/>
    <mergeCell ref="A22:F22"/>
    <mergeCell ref="A23:F23"/>
    <mergeCell ref="A25:F25"/>
    <mergeCell ref="A72:F73"/>
    <mergeCell ref="A42:F42"/>
    <mergeCell ref="A41:E41"/>
    <mergeCell ref="A44:E44"/>
    <mergeCell ref="A46:E46"/>
    <mergeCell ref="A74:F74"/>
    <mergeCell ref="A321:F321"/>
    <mergeCell ref="A8:F9"/>
    <mergeCell ref="A36:E36"/>
    <mergeCell ref="A37:E37"/>
    <mergeCell ref="A39:E39"/>
    <mergeCell ref="A48:E48"/>
    <mergeCell ref="A59:E59"/>
    <mergeCell ref="A60:E60"/>
    <mergeCell ref="A61:E61"/>
    <mergeCell ref="A62:E62"/>
    <mergeCell ref="A58:F58"/>
    <mergeCell ref="A50:E50"/>
    <mergeCell ref="A51:B51"/>
    <mergeCell ref="A53:B53"/>
    <mergeCell ref="A55:B55"/>
    <mergeCell ref="A57:B57"/>
    <mergeCell ref="A49:F49"/>
    <mergeCell ref="A28:B28"/>
    <mergeCell ref="A34:E34"/>
    <mergeCell ref="A43:E43"/>
    <mergeCell ref="A24:F24"/>
    <mergeCell ref="A13:F13"/>
    <mergeCell ref="A26:F26"/>
    <mergeCell ref="A16:F16"/>
    <mergeCell ref="A15:F15"/>
    <mergeCell ref="A19:F19"/>
    <mergeCell ref="A20:F20"/>
    <mergeCell ref="A21:F21"/>
    <mergeCell ref="A11:F11"/>
    <mergeCell ref="A14:F14"/>
    <mergeCell ref="A18:F18"/>
  </mergeCells>
  <pageMargins left="0.7" right="0.7" top="0.75" bottom="0.75" header="0.3" footer="0.3"/>
  <pageSetup paperSize="9" scale="67" fitToHeight="0" orientation="portrait" r:id="rId1"/>
  <ignoredErrors>
    <ignoredError sqref="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634"/>
  <sheetViews>
    <sheetView tabSelected="1" zoomScale="75" zoomScaleNormal="75" workbookViewId="0">
      <pane ySplit="15" topLeftCell="A573" activePane="bottomLeft" state="frozen"/>
      <selection activeCell="F30" sqref="F30"/>
      <selection pane="bottomLeft" activeCell="F30" sqref="F30"/>
    </sheetView>
  </sheetViews>
  <sheetFormatPr baseColWidth="10" defaultColWidth="11.5546875" defaultRowHeight="13.2" outlineLevelRow="1"/>
  <cols>
    <col min="1" max="1" width="9.77734375" style="14" customWidth="1"/>
    <col min="2" max="2" width="64.77734375" style="14" customWidth="1"/>
    <col min="3" max="3" width="8" style="14" customWidth="1"/>
    <col min="4" max="4" width="10.109375" style="14" bestFit="1" customWidth="1"/>
    <col min="5" max="5" width="10.88671875" style="14" customWidth="1"/>
    <col min="6" max="6" width="12.44140625" style="14" bestFit="1" customWidth="1"/>
    <col min="7" max="7" width="21.109375" style="14" customWidth="1"/>
    <col min="8" max="8" width="3.44140625" style="407" customWidth="1"/>
    <col min="9" max="9" width="13.109375" style="407" bestFit="1" customWidth="1"/>
    <col min="10" max="10" width="16.109375" style="405" bestFit="1" customWidth="1"/>
    <col min="11" max="11" width="18" style="405" customWidth="1"/>
    <col min="12" max="13" width="15" style="405" bestFit="1" customWidth="1"/>
    <col min="14" max="14" width="13.6640625" style="405" bestFit="1" customWidth="1"/>
    <col min="15" max="15" width="15" style="129" bestFit="1" customWidth="1"/>
    <col min="16" max="16" width="15" style="405" bestFit="1" customWidth="1"/>
    <col min="17" max="17" width="12.6640625" style="407" bestFit="1" customWidth="1"/>
    <col min="18" max="18" width="12.5546875" style="407" bestFit="1" customWidth="1"/>
    <col min="19" max="20" width="11.5546875" style="407"/>
    <col min="21" max="16384" width="11.5546875" style="14"/>
  </cols>
  <sheetData>
    <row r="1" spans="1:20" s="3" customFormat="1" ht="13.8">
      <c r="A1" s="1"/>
      <c r="B1" s="1"/>
      <c r="C1" s="1"/>
      <c r="D1" s="1"/>
      <c r="E1" s="1"/>
      <c r="F1" s="1"/>
      <c r="G1" s="1"/>
      <c r="H1" s="514"/>
      <c r="I1" s="514"/>
      <c r="J1" s="405"/>
      <c r="K1" s="405"/>
      <c r="L1" s="405"/>
      <c r="M1" s="405"/>
      <c r="N1" s="405"/>
      <c r="O1" s="129"/>
      <c r="P1" s="405"/>
      <c r="Q1" s="407"/>
      <c r="R1" s="407"/>
      <c r="S1" s="407"/>
      <c r="T1" s="407"/>
    </row>
    <row r="2" spans="1:20" s="3" customFormat="1" ht="15">
      <c r="A2" s="4"/>
      <c r="B2" s="4"/>
      <c r="C2" s="4"/>
      <c r="E2" s="530" t="s">
        <v>5</v>
      </c>
      <c r="F2" s="531"/>
      <c r="G2" s="4"/>
      <c r="H2" s="129"/>
      <c r="I2" s="129"/>
      <c r="J2" s="405"/>
      <c r="K2" s="405"/>
      <c r="L2" s="405"/>
      <c r="M2" s="405"/>
      <c r="N2" s="405"/>
      <c r="O2" s="129"/>
      <c r="P2" s="405"/>
      <c r="Q2" s="407"/>
      <c r="R2" s="407"/>
      <c r="S2" s="407"/>
      <c r="T2" s="407"/>
    </row>
    <row r="3" spans="1:20" s="3" customFormat="1" ht="15.6" thickBot="1">
      <c r="A3" s="1"/>
      <c r="B3" s="1"/>
      <c r="C3" s="1"/>
      <c r="E3" s="532" t="s">
        <v>6</v>
      </c>
      <c r="F3" s="532"/>
      <c r="G3" s="1"/>
      <c r="H3" s="514"/>
      <c r="I3" s="724" t="s">
        <v>741</v>
      </c>
      <c r="J3" s="724"/>
      <c r="K3" s="405"/>
      <c r="L3" s="405"/>
      <c r="M3" s="405"/>
      <c r="N3" s="405"/>
      <c r="O3" s="129"/>
      <c r="P3" s="405"/>
      <c r="Q3" s="407"/>
      <c r="R3" s="407"/>
      <c r="S3" s="407"/>
      <c r="T3" s="407"/>
    </row>
    <row r="4" spans="1:20" s="3" customFormat="1" ht="13.8">
      <c r="A4" s="4"/>
      <c r="B4" s="4"/>
      <c r="C4" s="4"/>
      <c r="E4" s="5"/>
      <c r="F4" s="4"/>
      <c r="G4" s="4"/>
      <c r="H4" s="129"/>
      <c r="I4" s="726" t="s">
        <v>742</v>
      </c>
      <c r="J4" s="726"/>
      <c r="K4" s="405"/>
      <c r="L4" s="405"/>
      <c r="M4" s="405"/>
      <c r="N4" s="580" t="s">
        <v>7</v>
      </c>
      <c r="O4" s="439" t="s">
        <v>8</v>
      </c>
      <c r="P4" s="440" t="s">
        <v>9</v>
      </c>
      <c r="Q4" s="441" t="s">
        <v>10</v>
      </c>
      <c r="R4" s="407"/>
      <c r="S4" s="407"/>
      <c r="T4" s="407"/>
    </row>
    <row r="5" spans="1:20" s="66" customFormat="1" ht="13.8" thickBot="1">
      <c r="A5" s="536"/>
      <c r="B5" s="536"/>
      <c r="C5" s="536"/>
      <c r="E5" s="536"/>
      <c r="F5" s="536"/>
      <c r="G5" s="536"/>
      <c r="H5" s="536"/>
      <c r="I5" s="729" t="s">
        <v>743</v>
      </c>
      <c r="J5" s="728"/>
      <c r="K5" s="534"/>
      <c r="L5" s="534"/>
      <c r="M5" s="534"/>
      <c r="N5" s="581"/>
      <c r="O5" s="537">
        <v>1.1499999999999999</v>
      </c>
      <c r="P5" s="538">
        <v>1.3</v>
      </c>
      <c r="Q5" s="539">
        <v>1.4</v>
      </c>
    </row>
    <row r="6" spans="1:20" s="3" customFormat="1" ht="20.399999999999999">
      <c r="A6" s="850" t="s">
        <v>11</v>
      </c>
      <c r="B6" s="850"/>
      <c r="C6" s="850"/>
      <c r="D6" s="850"/>
      <c r="E6" s="850"/>
      <c r="F6" s="850"/>
      <c r="G6" s="850"/>
      <c r="H6" s="515"/>
      <c r="I6" s="515"/>
      <c r="J6" s="405"/>
      <c r="K6" s="405"/>
      <c r="L6" s="405"/>
      <c r="M6" s="405"/>
      <c r="N6" s="405"/>
      <c r="O6" s="129"/>
      <c r="P6" s="407"/>
      <c r="Q6" s="407"/>
      <c r="R6" s="407"/>
      <c r="S6" s="407"/>
      <c r="T6" s="407"/>
    </row>
    <row r="7" spans="1:20" s="3" customFormat="1" ht="20.399999999999999">
      <c r="A7" s="851" t="s">
        <v>705</v>
      </c>
      <c r="B7" s="851"/>
      <c r="C7" s="851"/>
      <c r="D7" s="851"/>
      <c r="E7" s="851"/>
      <c r="F7" s="851"/>
      <c r="G7" s="851"/>
      <c r="H7" s="516"/>
      <c r="I7" s="516"/>
      <c r="J7" s="405"/>
      <c r="K7" s="405" t="s">
        <v>658</v>
      </c>
      <c r="L7" s="405"/>
      <c r="M7" s="405"/>
      <c r="N7" s="405"/>
      <c r="O7" s="129"/>
      <c r="P7" s="405"/>
      <c r="Q7" s="407"/>
      <c r="R7" s="407"/>
      <c r="S7" s="407"/>
      <c r="T7" s="407"/>
    </row>
    <row r="8" spans="1:20" s="66" customFormat="1" ht="10.8">
      <c r="A8" s="533"/>
      <c r="B8" s="533"/>
      <c r="C8" s="533"/>
      <c r="D8" s="533"/>
      <c r="E8" s="533"/>
      <c r="F8" s="533"/>
      <c r="G8" s="533"/>
      <c r="H8" s="533"/>
      <c r="I8" s="533"/>
      <c r="J8" s="534"/>
      <c r="K8" s="534"/>
      <c r="L8" s="534"/>
      <c r="M8" s="534"/>
      <c r="N8" s="534"/>
      <c r="O8" s="535"/>
      <c r="P8" s="534"/>
    </row>
    <row r="9" spans="1:20" s="6" customFormat="1" ht="60" customHeight="1">
      <c r="A9" s="582" t="s">
        <v>800</v>
      </c>
      <c r="B9" s="582"/>
      <c r="C9" s="582"/>
      <c r="D9" s="582"/>
      <c r="E9" s="582"/>
      <c r="F9" s="582"/>
      <c r="G9" s="582"/>
      <c r="H9" s="517"/>
      <c r="I9" s="517"/>
      <c r="J9" s="405"/>
      <c r="K9" s="442">
        <f>O557</f>
        <v>-0.29383140326282542</v>
      </c>
      <c r="L9" s="443"/>
      <c r="M9" s="405"/>
      <c r="N9" s="405"/>
      <c r="O9" s="129"/>
      <c r="P9" s="405"/>
      <c r="Q9" s="407"/>
      <c r="R9" s="407"/>
      <c r="S9" s="407"/>
      <c r="T9" s="407"/>
    </row>
    <row r="10" spans="1:20" s="6" customFormat="1" ht="40.200000000000003" customHeight="1">
      <c r="A10" s="849" t="s">
        <v>799</v>
      </c>
      <c r="B10" s="849"/>
      <c r="C10" s="849"/>
      <c r="D10" s="849"/>
      <c r="E10" s="849"/>
      <c r="F10" s="849"/>
      <c r="G10" s="849"/>
      <c r="H10" s="516"/>
      <c r="I10" s="516"/>
      <c r="J10" s="405"/>
      <c r="K10" s="444">
        <f>E283</f>
        <v>1281.2599999999998</v>
      </c>
      <c r="L10" s="445">
        <f>SUM(E346,E362,E363,E378,E393,E394,E410,E425,E440,E442,E443,E444,E459,E474,E476,E477,E496,E497,E515,E534,E553)</f>
        <v>3512.05</v>
      </c>
      <c r="M10" s="129"/>
      <c r="N10" s="405"/>
      <c r="O10" s="129"/>
      <c r="P10" s="405"/>
      <c r="Q10" s="407"/>
      <c r="R10" s="407"/>
      <c r="S10" s="407"/>
      <c r="T10" s="407"/>
    </row>
    <row r="11" spans="1:20" s="857" customFormat="1" ht="7.8">
      <c r="A11" s="852"/>
      <c r="B11" s="852"/>
      <c r="C11" s="852"/>
      <c r="D11" s="852"/>
      <c r="E11" s="852"/>
      <c r="F11" s="852"/>
      <c r="G11" s="852"/>
      <c r="H11" s="852"/>
      <c r="I11" s="852"/>
      <c r="J11" s="853"/>
      <c r="K11" s="854"/>
      <c r="L11" s="855"/>
      <c r="M11" s="856"/>
      <c r="N11" s="853"/>
      <c r="O11" s="856"/>
      <c r="P11" s="853"/>
    </row>
    <row r="12" spans="1:20" s="6" customFormat="1" ht="17.399999999999999">
      <c r="A12" s="841" t="s">
        <v>12</v>
      </c>
      <c r="B12" s="841"/>
      <c r="C12" s="841"/>
      <c r="D12" s="841"/>
      <c r="E12" s="841"/>
      <c r="F12" s="841"/>
      <c r="G12" s="841"/>
      <c r="H12" s="435"/>
      <c r="I12" s="435"/>
      <c r="J12" s="444"/>
      <c r="K12" s="405"/>
      <c r="L12" s="405"/>
      <c r="M12" s="405"/>
      <c r="N12" s="405"/>
      <c r="O12" s="129"/>
      <c r="P12" s="405"/>
      <c r="Q12" s="407"/>
      <c r="R12" s="407"/>
      <c r="S12" s="407"/>
      <c r="T12" s="407"/>
    </row>
    <row r="13" spans="1:20" s="857" customFormat="1" ht="11.4" thickBot="1">
      <c r="A13" s="871"/>
      <c r="B13" s="858"/>
      <c r="C13" s="858"/>
      <c r="D13" s="858"/>
      <c r="E13" s="858"/>
      <c r="F13" s="858"/>
      <c r="G13" s="858"/>
      <c r="H13" s="859"/>
      <c r="I13" s="859"/>
      <c r="J13" s="854"/>
      <c r="K13" s="853"/>
      <c r="L13" s="853"/>
      <c r="N13" s="853"/>
      <c r="O13" s="856"/>
      <c r="P13" s="853"/>
    </row>
    <row r="14" spans="1:20" s="3" customFormat="1" ht="14.4" customHeight="1" thickBot="1">
      <c r="A14" s="553" t="s">
        <v>691</v>
      </c>
      <c r="B14" s="554"/>
      <c r="C14" s="554"/>
      <c r="D14" s="554"/>
      <c r="E14" s="554"/>
      <c r="F14" s="554"/>
      <c r="G14" s="555"/>
      <c r="H14" s="435"/>
      <c r="I14" s="435"/>
      <c r="J14" s="133"/>
      <c r="K14" s="406"/>
      <c r="L14" s="405"/>
      <c r="M14" s="405"/>
      <c r="N14" s="405"/>
      <c r="O14" s="405"/>
      <c r="P14" s="405"/>
      <c r="Q14" s="407"/>
      <c r="R14" s="407"/>
      <c r="S14" s="407"/>
      <c r="T14" s="407"/>
    </row>
    <row r="15" spans="1:20" s="3" customFormat="1" ht="14.4" thickBot="1">
      <c r="A15" s="7" t="s">
        <v>13</v>
      </c>
      <c r="B15" s="8" t="s">
        <v>14</v>
      </c>
      <c r="C15" s="8" t="s">
        <v>15</v>
      </c>
      <c r="D15" s="8" t="s">
        <v>16</v>
      </c>
      <c r="E15" s="8" t="s">
        <v>17</v>
      </c>
      <c r="F15" s="8" t="s">
        <v>18</v>
      </c>
      <c r="G15" s="9" t="s">
        <v>19</v>
      </c>
      <c r="H15" s="435"/>
      <c r="I15" s="435"/>
      <c r="J15" s="405"/>
      <c r="K15" s="129" t="s">
        <v>20</v>
      </c>
      <c r="L15" s="129" t="s">
        <v>21</v>
      </c>
      <c r="M15" s="129" t="s">
        <v>22</v>
      </c>
      <c r="N15" s="129" t="s">
        <v>23</v>
      </c>
      <c r="O15" s="129" t="s">
        <v>24</v>
      </c>
      <c r="P15" s="129" t="s">
        <v>25</v>
      </c>
      <c r="Q15" s="407"/>
      <c r="R15" s="407"/>
      <c r="S15" s="407"/>
      <c r="T15" s="407"/>
    </row>
    <row r="16" spans="1:20" ht="13.8" thickBot="1">
      <c r="A16" s="10" t="s">
        <v>26</v>
      </c>
      <c r="B16" s="11"/>
      <c r="C16" s="11"/>
      <c r="D16" s="12"/>
      <c r="E16" s="11"/>
      <c r="F16" s="11"/>
      <c r="G16" s="13"/>
      <c r="H16" s="435"/>
      <c r="I16" s="435"/>
      <c r="L16" s="446">
        <v>0.1</v>
      </c>
      <c r="M16" s="446">
        <v>0.02</v>
      </c>
    </row>
    <row r="17" spans="1:20">
      <c r="A17" s="15">
        <v>101</v>
      </c>
      <c r="B17" s="16" t="s">
        <v>27</v>
      </c>
      <c r="C17" s="17" t="s">
        <v>28</v>
      </c>
      <c r="D17" s="123">
        <v>1</v>
      </c>
      <c r="E17" s="123">
        <v>1</v>
      </c>
      <c r="F17" s="19"/>
      <c r="G17" s="20"/>
      <c r="H17" s="435"/>
      <c r="I17" s="435"/>
      <c r="K17" s="406"/>
      <c r="L17" s="406"/>
      <c r="M17" s="406"/>
      <c r="N17" s="406"/>
      <c r="O17" s="133"/>
      <c r="P17" s="406"/>
    </row>
    <row r="18" spans="1:20">
      <c r="A18" s="15" t="s">
        <v>29</v>
      </c>
      <c r="B18" s="16" t="s">
        <v>30</v>
      </c>
      <c r="C18" s="17" t="s">
        <v>28</v>
      </c>
      <c r="D18" s="123">
        <v>1</v>
      </c>
      <c r="E18" s="123">
        <v>1</v>
      </c>
      <c r="F18" s="235">
        <f>60730000</f>
        <v>60730000</v>
      </c>
      <c r="G18" s="233">
        <f>F18*E18</f>
        <v>60730000</v>
      </c>
      <c r="H18" s="435"/>
      <c r="I18" s="713">
        <f>G18</f>
        <v>60730000</v>
      </c>
      <c r="K18" s="447">
        <v>35000000</v>
      </c>
      <c r="L18" s="447">
        <f t="shared" ref="L18" si="0">K18*$L$16</f>
        <v>3500000</v>
      </c>
      <c r="M18" s="447">
        <f t="shared" ref="M18" si="1">K18*$M$16</f>
        <v>700000</v>
      </c>
      <c r="N18" s="447">
        <f t="shared" ref="N18" si="2">SUM(K18:M18)</f>
        <v>39200000</v>
      </c>
      <c r="O18" s="448">
        <f>N18*$O$5</f>
        <v>45080000</v>
      </c>
      <c r="P18" s="447">
        <f t="shared" ref="P18" si="3">O18-N18</f>
        <v>5880000</v>
      </c>
      <c r="Q18" s="234"/>
    </row>
    <row r="19" spans="1:20" s="234" customFormat="1">
      <c r="A19" s="15" t="s">
        <v>734</v>
      </c>
      <c r="B19" s="16" t="s">
        <v>32</v>
      </c>
      <c r="C19" s="17" t="s">
        <v>28</v>
      </c>
      <c r="D19" s="123">
        <v>1</v>
      </c>
      <c r="E19" s="123">
        <v>1</v>
      </c>
      <c r="F19" s="235">
        <f>20410000</f>
        <v>20410000</v>
      </c>
      <c r="G19" s="233">
        <f>F19*E19</f>
        <v>20410000</v>
      </c>
      <c r="H19" s="435"/>
      <c r="I19" s="712">
        <f>G19</f>
        <v>20410000</v>
      </c>
      <c r="K19" s="447">
        <v>4000000</v>
      </c>
      <c r="L19" s="447">
        <f t="shared" ref="L19:L25" si="4">K19*$L$16</f>
        <v>400000</v>
      </c>
      <c r="M19" s="447">
        <f t="shared" ref="M19:M25" si="5">K19*$M$16</f>
        <v>80000</v>
      </c>
      <c r="N19" s="447">
        <f t="shared" ref="N19:N25" si="6">SUM(K19:M19)</f>
        <v>4480000</v>
      </c>
      <c r="O19" s="448">
        <f>N19*$O$5</f>
        <v>5152000</v>
      </c>
      <c r="P19" s="447">
        <f t="shared" ref="P19:P25" si="7">O19-N19</f>
        <v>672000</v>
      </c>
    </row>
    <row r="20" spans="1:20" s="234" customFormat="1">
      <c r="A20" s="15">
        <f>A17+1</f>
        <v>102</v>
      </c>
      <c r="B20" s="16" t="s">
        <v>33</v>
      </c>
      <c r="C20" s="17" t="s">
        <v>28</v>
      </c>
      <c r="D20" s="123">
        <v>1</v>
      </c>
      <c r="E20" s="123">
        <v>1</v>
      </c>
      <c r="F20" s="236"/>
      <c r="G20" s="233"/>
      <c r="H20" s="435"/>
      <c r="I20" s="710"/>
      <c r="K20" s="447"/>
      <c r="L20" s="447"/>
      <c r="M20" s="447"/>
      <c r="N20" s="447"/>
      <c r="O20" s="448"/>
      <c r="P20" s="447"/>
    </row>
    <row r="21" spans="1:20" s="234" customFormat="1">
      <c r="A21" s="746" t="s">
        <v>34</v>
      </c>
      <c r="B21" s="238" t="s">
        <v>642</v>
      </c>
      <c r="C21" s="17" t="s">
        <v>28</v>
      </c>
      <c r="D21" s="733">
        <v>1</v>
      </c>
      <c r="E21" s="733">
        <v>1</v>
      </c>
      <c r="F21" s="235">
        <f>10400000</f>
        <v>10400000</v>
      </c>
      <c r="G21" s="233">
        <f t="shared" ref="G21:G24" si="8">F21*E21</f>
        <v>10400000</v>
      </c>
      <c r="H21" s="435"/>
      <c r="I21" s="712">
        <f>SUM(G21:G26)</f>
        <v>79920000</v>
      </c>
      <c r="K21" s="447"/>
      <c r="L21" s="447"/>
      <c r="M21" s="447"/>
      <c r="N21" s="447"/>
      <c r="O21" s="448"/>
      <c r="P21" s="447"/>
    </row>
    <row r="22" spans="1:20" s="234" customFormat="1">
      <c r="A22" s="746" t="s">
        <v>35</v>
      </c>
      <c r="B22" s="238" t="s">
        <v>36</v>
      </c>
      <c r="C22" s="17" t="s">
        <v>28</v>
      </c>
      <c r="D22" s="733">
        <v>1</v>
      </c>
      <c r="E22" s="733">
        <v>1</v>
      </c>
      <c r="F22" s="235">
        <v>18280000</v>
      </c>
      <c r="G22" s="233">
        <f t="shared" si="8"/>
        <v>18280000</v>
      </c>
      <c r="H22" s="435"/>
      <c r="I22" s="435"/>
      <c r="J22" s="518"/>
      <c r="K22" s="447"/>
      <c r="L22" s="447"/>
      <c r="M22" s="447"/>
      <c r="N22" s="447"/>
      <c r="O22" s="448"/>
      <c r="P22" s="447"/>
    </row>
    <row r="23" spans="1:20" s="234" customFormat="1">
      <c r="A23" s="746" t="s">
        <v>37</v>
      </c>
      <c r="B23" s="238" t="s">
        <v>38</v>
      </c>
      <c r="C23" s="17" t="s">
        <v>28</v>
      </c>
      <c r="D23" s="733">
        <v>1</v>
      </c>
      <c r="E23" s="733">
        <v>1</v>
      </c>
      <c r="F23" s="235">
        <v>29860000</v>
      </c>
      <c r="G23" s="233">
        <f t="shared" si="8"/>
        <v>29860000</v>
      </c>
      <c r="H23" s="435"/>
      <c r="I23" s="435"/>
      <c r="J23" s="518"/>
      <c r="K23" s="447"/>
      <c r="L23" s="447"/>
      <c r="M23" s="447"/>
      <c r="N23" s="447"/>
      <c r="O23" s="448"/>
      <c r="P23" s="447"/>
    </row>
    <row r="24" spans="1:20" s="234" customFormat="1">
      <c r="A24" s="746" t="s">
        <v>39</v>
      </c>
      <c r="B24" s="238" t="s">
        <v>40</v>
      </c>
      <c r="C24" s="17" t="s">
        <v>28</v>
      </c>
      <c r="D24" s="733">
        <v>1</v>
      </c>
      <c r="E24" s="733">
        <v>1</v>
      </c>
      <c r="F24" s="235">
        <f>3600000</f>
        <v>3600000</v>
      </c>
      <c r="G24" s="233">
        <f t="shared" si="8"/>
        <v>3600000</v>
      </c>
      <c r="H24" s="435"/>
      <c r="I24" s="435"/>
      <c r="J24" s="518"/>
      <c r="K24" s="447"/>
      <c r="L24" s="447"/>
      <c r="M24" s="447"/>
      <c r="N24" s="447"/>
      <c r="O24" s="448"/>
      <c r="P24" s="447"/>
    </row>
    <row r="25" spans="1:20" s="234" customFormat="1">
      <c r="A25" s="720" t="s">
        <v>643</v>
      </c>
      <c r="B25" s="238" t="s">
        <v>644</v>
      </c>
      <c r="C25" s="17" t="s">
        <v>28</v>
      </c>
      <c r="D25" s="733">
        <v>1</v>
      </c>
      <c r="E25" s="733">
        <v>1</v>
      </c>
      <c r="F25" s="235">
        <f>MROUND(O25,20000)</f>
        <v>10040000</v>
      </c>
      <c r="G25" s="233">
        <f t="shared" ref="G25:G26" si="9">F25*E25</f>
        <v>10040000</v>
      </c>
      <c r="H25" s="435"/>
      <c r="I25" s="435"/>
      <c r="J25" s="518"/>
      <c r="K25" s="447">
        <v>8300000</v>
      </c>
      <c r="L25" s="447">
        <f t="shared" si="4"/>
        <v>830000</v>
      </c>
      <c r="M25" s="447">
        <f t="shared" si="5"/>
        <v>166000</v>
      </c>
      <c r="N25" s="447">
        <f t="shared" si="6"/>
        <v>9296000</v>
      </c>
      <c r="O25" s="449">
        <f>N25*$Q$25</f>
        <v>10039680</v>
      </c>
      <c r="P25" s="450">
        <f t="shared" si="7"/>
        <v>743680</v>
      </c>
      <c r="Q25" s="451">
        <v>1.08</v>
      </c>
    </row>
    <row r="26" spans="1:20" s="234" customFormat="1">
      <c r="A26" s="720" t="s">
        <v>645</v>
      </c>
      <c r="B26" s="238" t="s">
        <v>302</v>
      </c>
      <c r="C26" s="17" t="s">
        <v>28</v>
      </c>
      <c r="D26" s="733">
        <v>1</v>
      </c>
      <c r="E26" s="733">
        <v>1</v>
      </c>
      <c r="F26" s="235">
        <f>MROUND(O26,20000)</f>
        <v>7740000</v>
      </c>
      <c r="G26" s="233">
        <f t="shared" si="9"/>
        <v>7740000</v>
      </c>
      <c r="H26" s="435"/>
      <c r="I26" s="435"/>
      <c r="J26" s="518"/>
      <c r="K26" s="447">
        <v>6400000</v>
      </c>
      <c r="L26" s="447">
        <f t="shared" ref="L26" si="10">K26*$L$16</f>
        <v>640000</v>
      </c>
      <c r="M26" s="447">
        <f t="shared" ref="M26" si="11">K26*$M$16</f>
        <v>128000</v>
      </c>
      <c r="N26" s="447">
        <f t="shared" ref="N26" si="12">SUM(K26:M26)</f>
        <v>7168000</v>
      </c>
      <c r="O26" s="449">
        <f t="shared" ref="O26" si="13">N26*$Q$25</f>
        <v>7741440.0000000009</v>
      </c>
      <c r="P26" s="450">
        <f t="shared" ref="P26" si="14">O26-N26</f>
        <v>573440.00000000093</v>
      </c>
      <c r="Q26" s="214"/>
    </row>
    <row r="27" spans="1:20" ht="15" customHeight="1">
      <c r="A27" s="15">
        <f>A20+1</f>
        <v>103</v>
      </c>
      <c r="B27" s="16" t="s">
        <v>42</v>
      </c>
      <c r="C27" s="17" t="s">
        <v>43</v>
      </c>
      <c r="D27" s="123">
        <v>1</v>
      </c>
      <c r="E27" s="123">
        <f>E28</f>
        <v>23983</v>
      </c>
      <c r="F27" s="235">
        <f>MROUND(O27,5)</f>
        <v>1110</v>
      </c>
      <c r="G27" s="398" t="s">
        <v>659</v>
      </c>
      <c r="H27" s="416"/>
      <c r="I27" s="416"/>
      <c r="K27" s="406">
        <f>SUM(G28:G37)/$E27</f>
        <v>861.54734266827359</v>
      </c>
      <c r="L27" s="406">
        <f>K27*$L$16</f>
        <v>86.154734266827361</v>
      </c>
      <c r="M27" s="406">
        <f>K27*$M$16</f>
        <v>17.230946853365474</v>
      </c>
      <c r="N27" s="406">
        <f>SUM(K27:M27)</f>
        <v>964.93302378846647</v>
      </c>
      <c r="O27" s="133">
        <f>N27*$O$5</f>
        <v>1109.6729773567363</v>
      </c>
      <c r="P27" s="406">
        <f>O27-N27</f>
        <v>144.73995356826981</v>
      </c>
    </row>
    <row r="28" spans="1:20" s="34" customFormat="1" hidden="1" outlineLevel="1">
      <c r="A28" s="36"/>
      <c r="B28" s="35" t="s">
        <v>44</v>
      </c>
      <c r="C28" s="37" t="s">
        <v>41</v>
      </c>
      <c r="D28" s="123">
        <v>1</v>
      </c>
      <c r="E28" s="123">
        <f>23983</f>
        <v>23983</v>
      </c>
      <c r="F28" s="235"/>
      <c r="G28" s="31"/>
      <c r="H28" s="519"/>
      <c r="I28" s="519"/>
      <c r="J28" s="221"/>
      <c r="K28" s="221"/>
      <c r="L28" s="221"/>
      <c r="M28" s="221"/>
      <c r="N28" s="221"/>
      <c r="O28" s="221"/>
      <c r="P28" s="221"/>
      <c r="Q28" s="153"/>
      <c r="R28" s="153"/>
      <c r="S28" s="153"/>
      <c r="T28" s="153"/>
    </row>
    <row r="29" spans="1:20" s="34" customFormat="1" ht="11.4" hidden="1" customHeight="1" outlineLevel="1">
      <c r="A29" s="36"/>
      <c r="B29" s="35" t="s">
        <v>45</v>
      </c>
      <c r="C29" s="37" t="s">
        <v>43</v>
      </c>
      <c r="D29" s="123">
        <v>1</v>
      </c>
      <c r="E29" s="123">
        <f>E28*0.2</f>
        <v>4796.6000000000004</v>
      </c>
      <c r="F29" s="235"/>
      <c r="G29" s="31"/>
      <c r="H29" s="519"/>
      <c r="I29" s="519"/>
      <c r="J29" s="221"/>
      <c r="K29" s="221"/>
      <c r="L29" s="221"/>
      <c r="M29" s="221"/>
      <c r="N29" s="221"/>
      <c r="O29" s="221"/>
      <c r="P29" s="221"/>
      <c r="Q29" s="153"/>
      <c r="R29" s="153"/>
      <c r="S29" s="153"/>
      <c r="T29" s="153"/>
    </row>
    <row r="30" spans="1:20" s="34" customFormat="1" ht="11.4" hidden="1" customHeight="1" outlineLevel="1">
      <c r="A30" s="36"/>
      <c r="B30" s="35" t="s">
        <v>46</v>
      </c>
      <c r="C30" s="37" t="s">
        <v>31</v>
      </c>
      <c r="D30" s="123">
        <f>MROUND(E29/(12*40),0.05)</f>
        <v>10</v>
      </c>
      <c r="E30" s="123">
        <v>1</v>
      </c>
      <c r="F30" s="235">
        <f>7500000/26</f>
        <v>288461.53846153844</v>
      </c>
      <c r="G30" s="31">
        <f t="shared" ref="G30:G36" si="15">F30*E30*D30</f>
        <v>2884615.3846153845</v>
      </c>
      <c r="H30" s="519"/>
      <c r="I30" s="519"/>
      <c r="J30" s="221"/>
      <c r="K30" s="220"/>
      <c r="L30" s="220"/>
      <c r="M30" s="220"/>
      <c r="N30" s="220"/>
      <c r="O30" s="222"/>
      <c r="P30" s="220"/>
      <c r="Q30" s="153"/>
      <c r="R30" s="153"/>
      <c r="S30" s="153"/>
      <c r="T30" s="153"/>
    </row>
    <row r="31" spans="1:20" s="34" customFormat="1" hidden="1" outlineLevel="1">
      <c r="A31" s="36"/>
      <c r="B31" s="35" t="s">
        <v>47</v>
      </c>
      <c r="C31" s="37" t="s">
        <v>31</v>
      </c>
      <c r="D31" s="123">
        <f>D30</f>
        <v>10</v>
      </c>
      <c r="E31" s="123">
        <f>E30</f>
        <v>1</v>
      </c>
      <c r="F31" s="235">
        <f>7500000/26</f>
        <v>288461.53846153844</v>
      </c>
      <c r="G31" s="31">
        <f t="shared" si="15"/>
        <v>2884615.3846153845</v>
      </c>
      <c r="H31" s="519"/>
      <c r="I31" s="519"/>
      <c r="J31" s="221"/>
      <c r="K31" s="220"/>
      <c r="L31" s="220"/>
      <c r="M31" s="220"/>
      <c r="N31" s="220"/>
      <c r="O31" s="222"/>
      <c r="P31" s="220"/>
      <c r="Q31" s="153"/>
      <c r="R31" s="153"/>
      <c r="S31" s="153"/>
      <c r="T31" s="153"/>
    </row>
    <row r="32" spans="1:20" s="34" customFormat="1" hidden="1" outlineLevel="1">
      <c r="A32" s="36"/>
      <c r="B32" s="35" t="s">
        <v>48</v>
      </c>
      <c r="C32" s="37" t="s">
        <v>31</v>
      </c>
      <c r="D32" s="123">
        <f>D31</f>
        <v>10</v>
      </c>
      <c r="E32" s="123">
        <v>1</v>
      </c>
      <c r="F32" s="235">
        <f>8000000/26</f>
        <v>307692.30769230769</v>
      </c>
      <c r="G32" s="31">
        <f t="shared" si="15"/>
        <v>3076923.076923077</v>
      </c>
      <c r="H32" s="519"/>
      <c r="I32" s="519"/>
      <c r="J32" s="221"/>
      <c r="K32" s="220"/>
      <c r="L32" s="220"/>
      <c r="M32" s="220"/>
      <c r="N32" s="220"/>
      <c r="O32" s="222"/>
      <c r="P32" s="220"/>
      <c r="Q32" s="153"/>
      <c r="R32" s="153"/>
      <c r="S32" s="153"/>
      <c r="T32" s="153"/>
    </row>
    <row r="33" spans="1:20" s="34" customFormat="1" hidden="1" outlineLevel="1">
      <c r="A33" s="36"/>
      <c r="B33" s="35" t="s">
        <v>49</v>
      </c>
      <c r="C33" s="37" t="s">
        <v>50</v>
      </c>
      <c r="D33" s="123">
        <f>D31</f>
        <v>10</v>
      </c>
      <c r="E33" s="123">
        <f>SUM(E30:E32)*100</f>
        <v>300</v>
      </c>
      <c r="F33" s="235">
        <f>1045</f>
        <v>1045</v>
      </c>
      <c r="G33" s="31">
        <f t="shared" si="15"/>
        <v>3135000</v>
      </c>
      <c r="H33" s="519"/>
      <c r="I33" s="519"/>
      <c r="J33" s="221"/>
      <c r="K33" s="220"/>
      <c r="L33" s="220"/>
      <c r="M33" s="220"/>
      <c r="N33" s="220"/>
      <c r="O33" s="222"/>
      <c r="P33" s="220"/>
      <c r="Q33" s="153"/>
      <c r="R33" s="153"/>
      <c r="S33" s="153"/>
      <c r="T33" s="153"/>
    </row>
    <row r="34" spans="1:20" s="34" customFormat="1" hidden="1" outlineLevel="1">
      <c r="A34" s="36"/>
      <c r="B34" s="35" t="s">
        <v>51</v>
      </c>
      <c r="C34" s="37" t="s">
        <v>31</v>
      </c>
      <c r="D34" s="123">
        <f>D32</f>
        <v>10</v>
      </c>
      <c r="E34" s="123">
        <v>4</v>
      </c>
      <c r="F34" s="235">
        <f>200000/1.095</f>
        <v>182648.40182648401</v>
      </c>
      <c r="G34" s="31">
        <f t="shared" si="15"/>
        <v>7305936.0730593605</v>
      </c>
      <c r="H34" s="519"/>
      <c r="I34" s="519"/>
      <c r="J34" s="221"/>
      <c r="K34" s="220"/>
      <c r="L34" s="220"/>
      <c r="M34" s="220"/>
      <c r="N34" s="220"/>
      <c r="O34" s="222"/>
      <c r="P34" s="220"/>
      <c r="Q34" s="153"/>
      <c r="R34" s="153"/>
      <c r="S34" s="153"/>
      <c r="T34" s="153"/>
    </row>
    <row r="35" spans="1:20" s="34" customFormat="1" hidden="1" outlineLevel="1">
      <c r="A35" s="36"/>
      <c r="B35" s="38" t="s">
        <v>52</v>
      </c>
      <c r="C35" s="37" t="s">
        <v>15</v>
      </c>
      <c r="D35" s="123">
        <f>D30</f>
        <v>10</v>
      </c>
      <c r="E35" s="123">
        <f>SUM(E30:E32)</f>
        <v>3</v>
      </c>
      <c r="F35" s="235">
        <f>MROUND((350000/176.33)*1.225*12,10)</f>
        <v>29180</v>
      </c>
      <c r="G35" s="31">
        <f t="shared" si="15"/>
        <v>875400</v>
      </c>
      <c r="H35" s="519"/>
      <c r="I35" s="519"/>
      <c r="J35" s="221"/>
      <c r="K35" s="220"/>
      <c r="L35" s="220"/>
      <c r="M35" s="220"/>
      <c r="N35" s="220"/>
      <c r="O35" s="222"/>
      <c r="P35" s="220"/>
      <c r="Q35" s="153"/>
      <c r="R35" s="153"/>
      <c r="S35" s="153"/>
      <c r="T35" s="153"/>
    </row>
    <row r="36" spans="1:20" s="34" customFormat="1" hidden="1" outlineLevel="1">
      <c r="A36" s="36"/>
      <c r="B36" s="38" t="s">
        <v>53</v>
      </c>
      <c r="C36" s="37" t="s">
        <v>15</v>
      </c>
      <c r="D36" s="123">
        <f>D30</f>
        <v>10</v>
      </c>
      <c r="E36" s="123">
        <f>1+E35</f>
        <v>4</v>
      </c>
      <c r="F36" s="235">
        <f>MROUND((150000/176.33)*1.225*12,10)</f>
        <v>12500</v>
      </c>
      <c r="G36" s="31">
        <f t="shared" si="15"/>
        <v>500000</v>
      </c>
      <c r="H36" s="519"/>
      <c r="I36" s="519"/>
      <c r="J36" s="221"/>
      <c r="K36" s="220"/>
      <c r="L36" s="220"/>
      <c r="M36" s="220"/>
      <c r="N36" s="220"/>
      <c r="O36" s="222"/>
      <c r="P36" s="220"/>
      <c r="Q36" s="153"/>
      <c r="R36" s="153"/>
      <c r="S36" s="153"/>
      <c r="T36" s="153"/>
    </row>
    <row r="37" spans="1:20" s="34" customFormat="1" hidden="1" outlineLevel="1">
      <c r="A37" s="36"/>
      <c r="B37" s="35"/>
      <c r="C37" s="37"/>
      <c r="D37" s="123"/>
      <c r="E37" s="123"/>
      <c r="F37" s="235"/>
      <c r="G37" s="31"/>
      <c r="H37" s="519"/>
      <c r="I37" s="519"/>
      <c r="J37" s="221"/>
      <c r="K37" s="220"/>
      <c r="L37" s="220"/>
      <c r="M37" s="220"/>
      <c r="N37" s="220"/>
      <c r="O37" s="222"/>
      <c r="P37" s="220"/>
      <c r="Q37" s="153"/>
      <c r="R37" s="153"/>
      <c r="S37" s="153"/>
      <c r="T37" s="153"/>
    </row>
    <row r="38" spans="1:20" collapsed="1">
      <c r="A38" s="15">
        <f>A27+1</f>
        <v>104</v>
      </c>
      <c r="B38" s="16" t="s">
        <v>54</v>
      </c>
      <c r="C38" s="17" t="s">
        <v>15</v>
      </c>
      <c r="D38" s="123">
        <v>1</v>
      </c>
      <c r="E38" s="123">
        <v>44</v>
      </c>
      <c r="F38" s="235">
        <v>210000</v>
      </c>
      <c r="G38" s="398" t="s">
        <v>659</v>
      </c>
      <c r="H38" s="436"/>
      <c r="I38" s="436"/>
      <c r="J38" s="520"/>
      <c r="K38" s="450"/>
      <c r="L38" s="450"/>
      <c r="M38" s="450"/>
      <c r="N38" s="450"/>
      <c r="O38" s="449"/>
      <c r="P38" s="450"/>
      <c r="Q38" s="586" t="s">
        <v>303</v>
      </c>
      <c r="R38" s="586"/>
    </row>
    <row r="39" spans="1:20">
      <c r="A39" s="15">
        <f>A38+1</f>
        <v>105</v>
      </c>
      <c r="B39" s="16" t="s">
        <v>55</v>
      </c>
      <c r="C39" s="17" t="s">
        <v>15</v>
      </c>
      <c r="D39" s="123">
        <v>1</v>
      </c>
      <c r="E39" s="123">
        <v>1</v>
      </c>
      <c r="F39" s="235">
        <v>17710000</v>
      </c>
      <c r="G39" s="398" t="s">
        <v>659</v>
      </c>
      <c r="H39" s="436"/>
      <c r="I39" s="436"/>
      <c r="J39" s="520"/>
      <c r="K39" s="450"/>
      <c r="L39" s="450"/>
      <c r="M39" s="450"/>
      <c r="N39" s="450"/>
      <c r="O39" s="449"/>
      <c r="P39" s="450"/>
      <c r="Q39" s="586"/>
      <c r="R39" s="586"/>
    </row>
    <row r="40" spans="1:20">
      <c r="A40" s="15">
        <f>A39+1</f>
        <v>106</v>
      </c>
      <c r="B40" s="16" t="s">
        <v>57</v>
      </c>
      <c r="C40" s="17" t="s">
        <v>15</v>
      </c>
      <c r="D40" s="123">
        <v>1</v>
      </c>
      <c r="E40" s="123">
        <v>7</v>
      </c>
      <c r="F40" s="235">
        <v>5390000</v>
      </c>
      <c r="G40" s="398" t="s">
        <v>659</v>
      </c>
      <c r="H40" s="436"/>
      <c r="I40" s="436"/>
      <c r="J40" s="520"/>
      <c r="K40" s="450"/>
      <c r="L40" s="450"/>
      <c r="M40" s="450"/>
      <c r="N40" s="450"/>
      <c r="O40" s="449"/>
      <c r="P40" s="450"/>
      <c r="Q40" s="586"/>
      <c r="R40" s="586"/>
    </row>
    <row r="41" spans="1:20">
      <c r="A41" s="15">
        <f>A40+1</f>
        <v>107</v>
      </c>
      <c r="B41" s="16" t="s">
        <v>58</v>
      </c>
      <c r="C41" s="17" t="s">
        <v>15</v>
      </c>
      <c r="D41" s="123">
        <v>1</v>
      </c>
      <c r="E41" s="123">
        <v>3</v>
      </c>
      <c r="F41" s="235">
        <v>7080000</v>
      </c>
      <c r="G41" s="398" t="s">
        <v>659</v>
      </c>
      <c r="H41" s="436"/>
      <c r="I41" s="436"/>
      <c r="J41" s="520"/>
      <c r="K41" s="450"/>
      <c r="L41" s="450"/>
      <c r="M41" s="450"/>
      <c r="N41" s="450"/>
      <c r="O41" s="449"/>
      <c r="P41" s="450"/>
      <c r="Q41" s="586"/>
      <c r="R41" s="586"/>
    </row>
    <row r="42" spans="1:20" s="28" customFormat="1">
      <c r="A42" s="349">
        <v>108</v>
      </c>
      <c r="B42" s="257" t="s">
        <v>314</v>
      </c>
      <c r="C42" s="39"/>
      <c r="D42" s="123"/>
      <c r="E42" s="123"/>
      <c r="F42" s="26"/>
      <c r="G42" s="27"/>
      <c r="H42" s="519"/>
      <c r="I42" s="519"/>
      <c r="J42" s="221"/>
      <c r="K42" s="220"/>
      <c r="L42" s="220"/>
      <c r="M42" s="405"/>
      <c r="N42" s="220"/>
      <c r="O42" s="222"/>
      <c r="P42" s="220"/>
      <c r="Q42" s="153"/>
      <c r="R42" s="153"/>
      <c r="S42" s="153"/>
      <c r="T42" s="153"/>
    </row>
    <row r="43" spans="1:20" s="28" customFormat="1">
      <c r="A43" s="349">
        <v>108.1</v>
      </c>
      <c r="B43" s="257" t="s">
        <v>544</v>
      </c>
      <c r="C43" s="39"/>
      <c r="D43" s="123"/>
      <c r="E43" s="123"/>
      <c r="F43" s="26"/>
      <c r="G43" s="27"/>
      <c r="H43" s="519"/>
      <c r="I43" s="519"/>
      <c r="J43" s="221"/>
      <c r="K43" s="220"/>
      <c r="L43" s="220"/>
      <c r="M43" s="405"/>
      <c r="N43" s="220"/>
      <c r="O43" s="222"/>
      <c r="P43" s="220"/>
      <c r="Q43" s="153"/>
      <c r="R43" s="153"/>
      <c r="S43" s="153"/>
      <c r="T43" s="153"/>
    </row>
    <row r="44" spans="1:20" s="3" customFormat="1" ht="26.4" hidden="1" outlineLevel="1">
      <c r="A44" s="363">
        <v>101</v>
      </c>
      <c r="B44" s="364" t="s">
        <v>315</v>
      </c>
      <c r="C44" s="360" t="s">
        <v>316</v>
      </c>
      <c r="D44" s="123">
        <v>1</v>
      </c>
      <c r="E44" s="361">
        <v>1</v>
      </c>
      <c r="F44" s="362">
        <f>MROUND(K44/$M$49,10)</f>
        <v>3146070</v>
      </c>
      <c r="G44" s="372">
        <f>F44*E44*D44</f>
        <v>3146070</v>
      </c>
      <c r="H44" s="416"/>
      <c r="I44" s="416"/>
      <c r="J44" s="405">
        <v>3733330</v>
      </c>
      <c r="K44" s="129">
        <f>500000+500000+500000+500000+200000+200000+200000+200000</f>
        <v>2800000</v>
      </c>
      <c r="L44" s="407">
        <f>L42*K44</f>
        <v>0</v>
      </c>
      <c r="M44" s="407" t="e">
        <f>K44/M42</f>
        <v>#DIV/0!</v>
      </c>
      <c r="N44" s="452" t="e">
        <f>1-K44/L44</f>
        <v>#DIV/0!</v>
      </c>
      <c r="O44" s="452" t="e">
        <f>1-K44/M44</f>
        <v>#DIV/0!</v>
      </c>
      <c r="P44" s="453">
        <f>F44/K44</f>
        <v>1.1235964285714286</v>
      </c>
      <c r="Q44" s="407"/>
      <c r="R44" s="407"/>
      <c r="S44" s="407"/>
      <c r="T44" s="407"/>
    </row>
    <row r="45" spans="1:20" s="3" customFormat="1" ht="13.8" hidden="1" outlineLevel="1">
      <c r="A45" s="363">
        <v>102</v>
      </c>
      <c r="B45" s="364" t="s">
        <v>317</v>
      </c>
      <c r="C45" s="248" t="s">
        <v>316</v>
      </c>
      <c r="D45" s="123">
        <v>1</v>
      </c>
      <c r="E45" s="361">
        <v>1</v>
      </c>
      <c r="F45" s="362">
        <f>MROUND(K45/$M$49,10)</f>
        <v>2786520</v>
      </c>
      <c r="G45" s="372">
        <f>F45*E45*D45</f>
        <v>2786520</v>
      </c>
      <c r="H45" s="416"/>
      <c r="I45" s="416"/>
      <c r="J45" s="405">
        <v>3348000</v>
      </c>
      <c r="K45" s="129">
        <f>240000+240000+300000+200000+300000+200000+300000+200000+300000+200000</f>
        <v>2480000</v>
      </c>
      <c r="L45" s="407"/>
      <c r="M45" s="407"/>
      <c r="N45" s="407"/>
      <c r="O45" s="407"/>
      <c r="P45" s="407"/>
      <c r="Q45" s="407"/>
      <c r="R45" s="407"/>
      <c r="S45" s="407"/>
      <c r="T45" s="407"/>
    </row>
    <row r="46" spans="1:20" s="3" customFormat="1" ht="26.4" collapsed="1">
      <c r="A46" s="350"/>
      <c r="B46" s="370" t="s">
        <v>646</v>
      </c>
      <c r="C46" s="368" t="s">
        <v>316</v>
      </c>
      <c r="D46" s="361">
        <v>1</v>
      </c>
      <c r="E46" s="361">
        <v>1</v>
      </c>
      <c r="F46" s="369">
        <f>G46</f>
        <v>5932590</v>
      </c>
      <c r="G46" s="373">
        <f>SUM(G44:G45)</f>
        <v>5932590</v>
      </c>
      <c r="H46" s="416"/>
      <c r="I46" s="711">
        <f>SUM(G46,G73,G190)</f>
        <v>164077922.33333331</v>
      </c>
      <c r="J46" s="405"/>
      <c r="K46" s="454" t="s">
        <v>562</v>
      </c>
      <c r="L46" s="588" t="s">
        <v>564</v>
      </c>
      <c r="M46" s="407"/>
      <c r="N46" s="407"/>
      <c r="O46" s="407"/>
      <c r="P46" s="407"/>
      <c r="Q46" s="407"/>
      <c r="R46" s="407"/>
      <c r="S46" s="407"/>
      <c r="T46" s="407"/>
    </row>
    <row r="47" spans="1:20" s="2" customFormat="1">
      <c r="A47" s="349">
        <v>108.2</v>
      </c>
      <c r="B47" s="257" t="s">
        <v>545</v>
      </c>
      <c r="C47" s="39"/>
      <c r="D47" s="123"/>
      <c r="E47" s="123"/>
      <c r="F47" s="26"/>
      <c r="G47" s="27"/>
      <c r="H47" s="519"/>
      <c r="I47" s="416"/>
      <c r="J47" s="405"/>
      <c r="K47" s="455" t="s">
        <v>563</v>
      </c>
      <c r="L47" s="588"/>
      <c r="M47" s="407"/>
      <c r="N47" s="407"/>
      <c r="O47" s="407"/>
      <c r="P47" s="407"/>
      <c r="Q47" s="407"/>
      <c r="R47" s="407"/>
      <c r="S47" s="407"/>
      <c r="T47" s="407"/>
    </row>
    <row r="48" spans="1:20" s="2" customFormat="1" hidden="1" outlineLevel="1">
      <c r="A48" s="348">
        <v>201</v>
      </c>
      <c r="B48" s="264" t="s">
        <v>318</v>
      </c>
      <c r="C48" s="249"/>
      <c r="D48" s="123"/>
      <c r="E48" s="123"/>
      <c r="F48" s="250"/>
      <c r="G48" s="374"/>
      <c r="H48" s="437"/>
      <c r="I48" s="416"/>
      <c r="J48" s="406"/>
      <c r="K48" s="406"/>
      <c r="L48" s="407"/>
      <c r="M48" s="407"/>
      <c r="N48" s="407"/>
      <c r="O48" s="407"/>
      <c r="P48" s="407"/>
      <c r="Q48" s="407"/>
      <c r="R48" s="407"/>
      <c r="S48" s="407"/>
      <c r="T48" s="407"/>
    </row>
    <row r="49" spans="1:20" s="2" customFormat="1" ht="13.8" hidden="1" outlineLevel="1">
      <c r="A49" s="351" t="s">
        <v>565</v>
      </c>
      <c r="B49" s="268" t="s">
        <v>566</v>
      </c>
      <c r="C49" s="248" t="s">
        <v>321</v>
      </c>
      <c r="D49" s="123"/>
      <c r="E49" s="123">
        <v>1</v>
      </c>
      <c r="F49" s="247">
        <f t="shared" ref="F49:F54" si="16">MROUND(K49/$M$49,10)</f>
        <v>831460</v>
      </c>
      <c r="G49" s="372">
        <f>F49*E49</f>
        <v>831460</v>
      </c>
      <c r="H49" s="416"/>
      <c r="I49" s="416"/>
      <c r="J49" s="406">
        <f>G49</f>
        <v>831460</v>
      </c>
      <c r="K49" s="406">
        <f>500000+240000</f>
        <v>740000</v>
      </c>
      <c r="L49" s="407" t="s">
        <v>286</v>
      </c>
      <c r="M49" s="456">
        <v>0.89</v>
      </c>
      <c r="N49" s="457">
        <f>G49/K49</f>
        <v>1.1235945945945947</v>
      </c>
      <c r="O49" s="407"/>
      <c r="P49" s="407"/>
      <c r="Q49" s="407"/>
      <c r="R49" s="407"/>
      <c r="S49" s="407"/>
      <c r="T49" s="407"/>
    </row>
    <row r="50" spans="1:20" s="2" customFormat="1" ht="26.4" hidden="1" outlineLevel="1">
      <c r="A50" s="351" t="s">
        <v>319</v>
      </c>
      <c r="B50" s="268" t="s">
        <v>320</v>
      </c>
      <c r="C50" s="248" t="s">
        <v>321</v>
      </c>
      <c r="D50" s="123"/>
      <c r="E50" s="123">
        <v>1</v>
      </c>
      <c r="F50" s="247">
        <f t="shared" si="16"/>
        <v>2022470</v>
      </c>
      <c r="G50" s="372">
        <f t="shared" ref="G50:G54" si="17">F50*E50</f>
        <v>2022470</v>
      </c>
      <c r="H50" s="416"/>
      <c r="I50" s="416"/>
      <c r="J50" s="405">
        <v>2430000</v>
      </c>
      <c r="K50" s="406">
        <v>1800000</v>
      </c>
      <c r="L50" s="407" t="s">
        <v>286</v>
      </c>
      <c r="M50" s="407"/>
      <c r="N50" s="407"/>
      <c r="O50" s="407"/>
      <c r="P50" s="407"/>
      <c r="Q50" s="407"/>
      <c r="R50" s="407"/>
      <c r="S50" s="407"/>
      <c r="T50" s="407"/>
    </row>
    <row r="51" spans="1:20" s="2" customFormat="1" ht="14.4" hidden="1" customHeight="1" outlineLevel="1">
      <c r="A51" s="351" t="s">
        <v>322</v>
      </c>
      <c r="B51" s="268" t="s">
        <v>323</v>
      </c>
      <c r="C51" s="248" t="s">
        <v>321</v>
      </c>
      <c r="D51" s="123"/>
      <c r="E51" s="123">
        <v>1</v>
      </c>
      <c r="F51" s="247">
        <f t="shared" si="16"/>
        <v>2123600</v>
      </c>
      <c r="G51" s="372">
        <f t="shared" si="17"/>
        <v>2123600</v>
      </c>
      <c r="H51" s="416"/>
      <c r="I51" s="416"/>
      <c r="J51" s="405">
        <v>2551500</v>
      </c>
      <c r="K51" s="406">
        <v>1890000</v>
      </c>
      <c r="L51" s="407" t="s">
        <v>286</v>
      </c>
      <c r="M51" s="407"/>
      <c r="N51" s="407"/>
      <c r="O51" s="407"/>
      <c r="P51" s="407"/>
      <c r="Q51" s="407"/>
      <c r="R51" s="407"/>
      <c r="S51" s="407"/>
      <c r="T51" s="407"/>
    </row>
    <row r="52" spans="1:20" s="2" customFormat="1" ht="14.4" hidden="1" customHeight="1" outlineLevel="1">
      <c r="A52" s="351" t="s">
        <v>324</v>
      </c>
      <c r="B52" s="268" t="s">
        <v>325</v>
      </c>
      <c r="C52" s="251" t="s">
        <v>321</v>
      </c>
      <c r="D52" s="123"/>
      <c r="E52" s="123">
        <v>1</v>
      </c>
      <c r="F52" s="247">
        <f t="shared" si="16"/>
        <v>7752810</v>
      </c>
      <c r="G52" s="372">
        <f t="shared" si="17"/>
        <v>7752810</v>
      </c>
      <c r="H52" s="416"/>
      <c r="I52" s="416"/>
      <c r="J52" s="405">
        <v>9315000</v>
      </c>
      <c r="K52" s="406">
        <v>6900000</v>
      </c>
      <c r="L52" s="407" t="s">
        <v>286</v>
      </c>
      <c r="M52" s="407"/>
      <c r="N52" s="407"/>
      <c r="O52" s="407"/>
      <c r="P52" s="407"/>
      <c r="Q52" s="407"/>
      <c r="R52" s="407"/>
      <c r="S52" s="407"/>
      <c r="T52" s="407"/>
    </row>
    <row r="53" spans="1:20" s="2" customFormat="1" ht="13.8" hidden="1" outlineLevel="1">
      <c r="A53" s="351" t="s">
        <v>326</v>
      </c>
      <c r="B53" s="268" t="s">
        <v>327</v>
      </c>
      <c r="C53" s="251" t="s">
        <v>321</v>
      </c>
      <c r="D53" s="123"/>
      <c r="E53" s="123">
        <v>1</v>
      </c>
      <c r="F53" s="247">
        <f t="shared" si="16"/>
        <v>18651690</v>
      </c>
      <c r="G53" s="372">
        <f t="shared" si="17"/>
        <v>18651690</v>
      </c>
      <c r="H53" s="416"/>
      <c r="I53" s="416"/>
      <c r="J53" s="405">
        <v>22410000</v>
      </c>
      <c r="K53" s="406">
        <v>16600000</v>
      </c>
      <c r="L53" s="407" t="s">
        <v>286</v>
      </c>
      <c r="M53" s="407"/>
      <c r="N53" s="407"/>
      <c r="O53" s="407"/>
      <c r="P53" s="407"/>
      <c r="Q53" s="407"/>
      <c r="R53" s="407"/>
      <c r="S53" s="407"/>
      <c r="T53" s="407"/>
    </row>
    <row r="54" spans="1:20" s="2" customFormat="1" ht="26.4" hidden="1" outlineLevel="1">
      <c r="A54" s="351" t="s">
        <v>328</v>
      </c>
      <c r="B54" s="268" t="s">
        <v>329</v>
      </c>
      <c r="C54" s="251" t="s">
        <v>321</v>
      </c>
      <c r="D54" s="123"/>
      <c r="E54" s="123">
        <v>1</v>
      </c>
      <c r="F54" s="247">
        <f t="shared" si="16"/>
        <v>1123600</v>
      </c>
      <c r="G54" s="372">
        <f t="shared" si="17"/>
        <v>1123600</v>
      </c>
      <c r="H54" s="416"/>
      <c r="I54" s="416"/>
      <c r="J54" s="405">
        <v>1350000</v>
      </c>
      <c r="K54" s="406">
        <v>1000000</v>
      </c>
      <c r="L54" s="407" t="s">
        <v>286</v>
      </c>
      <c r="M54" s="458">
        <f>SUM(K49:K54)</f>
        <v>28930000</v>
      </c>
      <c r="N54" s="407"/>
      <c r="O54" s="407"/>
      <c r="P54" s="407"/>
      <c r="Q54" s="407"/>
      <c r="R54" s="407"/>
      <c r="S54" s="407"/>
      <c r="T54" s="407"/>
    </row>
    <row r="55" spans="1:20" s="2" customFormat="1" ht="13.8" hidden="1" outlineLevel="1">
      <c r="A55" s="348">
        <v>202</v>
      </c>
      <c r="B55" s="264" t="s">
        <v>330</v>
      </c>
      <c r="C55" s="418"/>
      <c r="D55" s="123"/>
      <c r="E55" s="123"/>
      <c r="F55" s="252"/>
      <c r="G55" s="374"/>
      <c r="H55" s="437"/>
      <c r="I55" s="416"/>
      <c r="J55" s="405"/>
      <c r="K55" s="406"/>
      <c r="L55" s="407"/>
      <c r="M55" s="407"/>
      <c r="N55" s="407"/>
      <c r="O55" s="407"/>
      <c r="P55" s="407"/>
      <c r="Q55" s="407"/>
      <c r="R55" s="407"/>
      <c r="S55" s="407"/>
      <c r="T55" s="407"/>
    </row>
    <row r="56" spans="1:20" s="2" customFormat="1" ht="13.8" hidden="1" outlineLevel="1">
      <c r="A56" s="351" t="s">
        <v>565</v>
      </c>
      <c r="B56" s="268" t="s">
        <v>566</v>
      </c>
      <c r="C56" s="248" t="s">
        <v>321</v>
      </c>
      <c r="D56" s="123"/>
      <c r="E56" s="123">
        <v>1</v>
      </c>
      <c r="F56" s="247">
        <f t="shared" ref="F56:F62" si="18">MROUND(K56/$M$49,10)</f>
        <v>831460</v>
      </c>
      <c r="G56" s="372">
        <f t="shared" ref="G56" si="19">F56*E56</f>
        <v>831460</v>
      </c>
      <c r="H56" s="416"/>
      <c r="I56" s="416"/>
      <c r="J56" s="406">
        <f>G56</f>
        <v>831460</v>
      </c>
      <c r="K56" s="406">
        <f>500000+240000</f>
        <v>740000</v>
      </c>
      <c r="L56" s="407" t="s">
        <v>286</v>
      </c>
      <c r="M56" s="407"/>
      <c r="N56" s="407"/>
      <c r="O56" s="407"/>
      <c r="P56" s="407"/>
      <c r="Q56" s="407"/>
      <c r="R56" s="407"/>
      <c r="S56" s="407"/>
      <c r="T56" s="407"/>
    </row>
    <row r="57" spans="1:20" s="2" customFormat="1" ht="26.4" hidden="1" outlineLevel="1">
      <c r="A57" s="351" t="s">
        <v>331</v>
      </c>
      <c r="B57" s="268" t="s">
        <v>332</v>
      </c>
      <c r="C57" s="251" t="s">
        <v>321</v>
      </c>
      <c r="D57" s="123"/>
      <c r="E57" s="123">
        <v>1</v>
      </c>
      <c r="F57" s="247">
        <f t="shared" si="18"/>
        <v>258430</v>
      </c>
      <c r="G57" s="372">
        <f>F57*E57</f>
        <v>258430</v>
      </c>
      <c r="H57" s="416"/>
      <c r="I57" s="416"/>
      <c r="J57" s="405">
        <v>310500</v>
      </c>
      <c r="K57" s="406">
        <v>230000</v>
      </c>
      <c r="L57" s="407" t="s">
        <v>286</v>
      </c>
      <c r="M57" s="407"/>
      <c r="N57" s="407"/>
      <c r="O57" s="407"/>
      <c r="P57" s="407"/>
      <c r="Q57" s="407"/>
      <c r="R57" s="407"/>
      <c r="S57" s="407"/>
      <c r="T57" s="407"/>
    </row>
    <row r="58" spans="1:20" s="2" customFormat="1" ht="13.8" hidden="1" outlineLevel="1">
      <c r="A58" s="351" t="s">
        <v>333</v>
      </c>
      <c r="B58" s="268" t="s">
        <v>323</v>
      </c>
      <c r="C58" s="251" t="s">
        <v>321</v>
      </c>
      <c r="D58" s="123"/>
      <c r="E58" s="123">
        <v>1</v>
      </c>
      <c r="F58" s="247">
        <f t="shared" si="18"/>
        <v>361800</v>
      </c>
      <c r="G58" s="372">
        <f t="shared" ref="G58:G69" si="20">E58*F58</f>
        <v>361800</v>
      </c>
      <c r="H58" s="416"/>
      <c r="I58" s="416"/>
      <c r="J58" s="405">
        <v>434700</v>
      </c>
      <c r="K58" s="406">
        <v>322000</v>
      </c>
      <c r="L58" s="407" t="s">
        <v>286</v>
      </c>
      <c r="M58" s="407"/>
      <c r="N58" s="407"/>
      <c r="O58" s="407"/>
      <c r="P58" s="407"/>
      <c r="Q58" s="407"/>
      <c r="R58" s="407"/>
      <c r="S58" s="407"/>
      <c r="T58" s="407"/>
    </row>
    <row r="59" spans="1:20" s="2" customFormat="1" ht="13.8" hidden="1" outlineLevel="1">
      <c r="A59" s="351" t="s">
        <v>334</v>
      </c>
      <c r="B59" s="268" t="s">
        <v>325</v>
      </c>
      <c r="C59" s="251" t="s">
        <v>321</v>
      </c>
      <c r="D59" s="123"/>
      <c r="E59" s="123">
        <v>1</v>
      </c>
      <c r="F59" s="247">
        <f t="shared" si="18"/>
        <v>7752810</v>
      </c>
      <c r="G59" s="372">
        <f t="shared" si="20"/>
        <v>7752810</v>
      </c>
      <c r="H59" s="416"/>
      <c r="I59" s="416"/>
      <c r="J59" s="405">
        <v>9315000</v>
      </c>
      <c r="K59" s="406">
        <v>6900000</v>
      </c>
      <c r="L59" s="407" t="s">
        <v>286</v>
      </c>
      <c r="M59" s="407"/>
      <c r="N59" s="407"/>
      <c r="O59" s="407"/>
      <c r="P59" s="407"/>
      <c r="Q59" s="407"/>
      <c r="R59" s="407"/>
      <c r="S59" s="407"/>
      <c r="T59" s="407"/>
    </row>
    <row r="60" spans="1:20" s="2" customFormat="1" ht="13.8" hidden="1" outlineLevel="1">
      <c r="A60" s="351" t="s">
        <v>335</v>
      </c>
      <c r="B60" s="268" t="s">
        <v>327</v>
      </c>
      <c r="C60" s="251" t="s">
        <v>321</v>
      </c>
      <c r="D60" s="123"/>
      <c r="E60" s="123">
        <v>1</v>
      </c>
      <c r="F60" s="247">
        <f t="shared" si="18"/>
        <v>4494380</v>
      </c>
      <c r="G60" s="372">
        <f t="shared" si="20"/>
        <v>4494380</v>
      </c>
      <c r="H60" s="416"/>
      <c r="I60" s="416"/>
      <c r="J60" s="405">
        <v>5400000</v>
      </c>
      <c r="K60" s="406">
        <v>4000000</v>
      </c>
      <c r="L60" s="407" t="s">
        <v>286</v>
      </c>
      <c r="M60" s="407"/>
      <c r="N60" s="407"/>
      <c r="O60" s="407"/>
      <c r="P60" s="407"/>
      <c r="Q60" s="407"/>
      <c r="R60" s="407"/>
      <c r="S60" s="407"/>
      <c r="T60" s="407"/>
    </row>
    <row r="61" spans="1:20" s="2" customFormat="1" ht="26.4" hidden="1" outlineLevel="1">
      <c r="A61" s="351" t="s">
        <v>336</v>
      </c>
      <c r="B61" s="268" t="s">
        <v>337</v>
      </c>
      <c r="C61" s="251" t="s">
        <v>321</v>
      </c>
      <c r="D61" s="123"/>
      <c r="E61" s="123">
        <v>1</v>
      </c>
      <c r="F61" s="247">
        <f t="shared" si="18"/>
        <v>2696630</v>
      </c>
      <c r="G61" s="372">
        <f t="shared" si="20"/>
        <v>2696630</v>
      </c>
      <c r="H61" s="416"/>
      <c r="I61" s="416"/>
      <c r="J61" s="405">
        <v>3240000</v>
      </c>
      <c r="K61" s="406">
        <v>2400000</v>
      </c>
      <c r="L61" s="407" t="s">
        <v>286</v>
      </c>
      <c r="M61" s="407"/>
      <c r="N61" s="407"/>
      <c r="O61" s="407"/>
      <c r="P61" s="407"/>
      <c r="Q61" s="407"/>
      <c r="R61" s="407"/>
      <c r="S61" s="407"/>
      <c r="T61" s="407"/>
    </row>
    <row r="62" spans="1:20" s="2" customFormat="1" ht="26.4" hidden="1" outlineLevel="1">
      <c r="A62" s="351" t="s">
        <v>338</v>
      </c>
      <c r="B62" s="268" t="s">
        <v>339</v>
      </c>
      <c r="C62" s="251" t="s">
        <v>321</v>
      </c>
      <c r="D62" s="123"/>
      <c r="E62" s="123">
        <v>1</v>
      </c>
      <c r="F62" s="247">
        <f t="shared" si="18"/>
        <v>561800</v>
      </c>
      <c r="G62" s="372">
        <f t="shared" si="20"/>
        <v>561800</v>
      </c>
      <c r="H62" s="416"/>
      <c r="I62" s="416"/>
      <c r="J62" s="405">
        <v>675000</v>
      </c>
      <c r="K62" s="406">
        <v>500000</v>
      </c>
      <c r="L62" s="407" t="s">
        <v>286</v>
      </c>
      <c r="M62" s="458">
        <f>SUM(K56:K62)</f>
        <v>15092000</v>
      </c>
      <c r="N62" s="407"/>
      <c r="O62" s="407"/>
      <c r="P62" s="407"/>
      <c r="Q62" s="407"/>
      <c r="R62" s="407"/>
      <c r="S62" s="407"/>
      <c r="T62" s="407"/>
    </row>
    <row r="63" spans="1:20" s="2" customFormat="1" hidden="1" outlineLevel="1">
      <c r="A63" s="348">
        <v>203</v>
      </c>
      <c r="B63" s="264" t="s">
        <v>340</v>
      </c>
      <c r="C63" s="253"/>
      <c r="D63" s="123"/>
      <c r="E63" s="123"/>
      <c r="F63" s="252"/>
      <c r="G63" s="374"/>
      <c r="H63" s="437"/>
      <c r="I63" s="416"/>
      <c r="J63" s="405"/>
      <c r="K63" s="406"/>
      <c r="L63" s="407"/>
      <c r="M63" s="407"/>
      <c r="N63" s="407"/>
      <c r="O63" s="407"/>
      <c r="P63" s="407"/>
      <c r="Q63" s="407"/>
      <c r="R63" s="407"/>
      <c r="S63" s="407"/>
      <c r="T63" s="407"/>
    </row>
    <row r="64" spans="1:20" s="2" customFormat="1" ht="13.8" hidden="1" outlineLevel="1">
      <c r="A64" s="351" t="s">
        <v>565</v>
      </c>
      <c r="B64" s="268" t="s">
        <v>566</v>
      </c>
      <c r="C64" s="248" t="s">
        <v>321</v>
      </c>
      <c r="D64" s="123"/>
      <c r="E64" s="123">
        <v>1</v>
      </c>
      <c r="F64" s="247">
        <f>MROUND(K64/$M$49,10)</f>
        <v>561800</v>
      </c>
      <c r="G64" s="372">
        <f t="shared" ref="G64" si="21">F64*E64</f>
        <v>561800</v>
      </c>
      <c r="H64" s="416"/>
      <c r="I64" s="416"/>
      <c r="J64" s="406">
        <f>G64</f>
        <v>561800</v>
      </c>
      <c r="K64" s="406">
        <f>500000*E64</f>
        <v>500000</v>
      </c>
      <c r="L64" s="407" t="s">
        <v>286</v>
      </c>
      <c r="M64" s="407"/>
      <c r="N64" s="407"/>
      <c r="O64" s="407"/>
      <c r="P64" s="407"/>
      <c r="Q64" s="407"/>
      <c r="R64" s="407"/>
      <c r="S64" s="407"/>
      <c r="T64" s="407"/>
    </row>
    <row r="65" spans="1:20" s="2" customFormat="1" hidden="1" outlineLevel="1">
      <c r="A65" s="351" t="s">
        <v>341</v>
      </c>
      <c r="B65" s="268" t="s">
        <v>325</v>
      </c>
      <c r="C65" s="246" t="s">
        <v>342</v>
      </c>
      <c r="D65" s="123"/>
      <c r="E65" s="123">
        <v>10</v>
      </c>
      <c r="F65" s="247">
        <f>MROUND(K65/$M$49,10)</f>
        <v>3370790</v>
      </c>
      <c r="G65" s="372">
        <f t="shared" si="20"/>
        <v>33707900</v>
      </c>
      <c r="H65" s="416"/>
      <c r="I65" s="416"/>
      <c r="J65" s="405">
        <v>405000</v>
      </c>
      <c r="K65" s="406">
        <f>300000*E65</f>
        <v>3000000</v>
      </c>
      <c r="L65" s="407" t="s">
        <v>286</v>
      </c>
      <c r="M65" s="407"/>
      <c r="N65" s="407"/>
      <c r="O65" s="407"/>
      <c r="P65" s="407"/>
      <c r="Q65" s="407"/>
      <c r="R65" s="407"/>
      <c r="S65" s="407"/>
      <c r="T65" s="407"/>
    </row>
    <row r="66" spans="1:20" s="2" customFormat="1" ht="26.4" hidden="1" outlineLevel="1">
      <c r="A66" s="351" t="s">
        <v>343</v>
      </c>
      <c r="B66" s="268" t="s">
        <v>344</v>
      </c>
      <c r="C66" s="246" t="s">
        <v>342</v>
      </c>
      <c r="D66" s="123"/>
      <c r="E66" s="123">
        <v>2</v>
      </c>
      <c r="F66" s="247">
        <f>MROUND(K66/$M$49,10)</f>
        <v>337080</v>
      </c>
      <c r="G66" s="372">
        <f t="shared" si="20"/>
        <v>674160</v>
      </c>
      <c r="H66" s="416"/>
      <c r="I66" s="416"/>
      <c r="J66" s="405">
        <v>202500</v>
      </c>
      <c r="K66" s="406">
        <f>150000*E66</f>
        <v>300000</v>
      </c>
      <c r="L66" s="407" t="s">
        <v>286</v>
      </c>
      <c r="M66" s="458">
        <f>SUM(K64:K66)</f>
        <v>3800000</v>
      </c>
      <c r="N66" s="407"/>
      <c r="O66" s="407"/>
      <c r="P66" s="407"/>
      <c r="Q66" s="407"/>
      <c r="R66" s="407"/>
      <c r="S66" s="407"/>
      <c r="T66" s="407"/>
    </row>
    <row r="67" spans="1:20" s="2" customFormat="1" hidden="1" outlineLevel="1">
      <c r="A67" s="348">
        <v>204</v>
      </c>
      <c r="B67" s="264" t="s">
        <v>345</v>
      </c>
      <c r="C67" s="253"/>
      <c r="D67" s="123"/>
      <c r="E67" s="123"/>
      <c r="F67" s="252"/>
      <c r="G67" s="374"/>
      <c r="H67" s="437"/>
      <c r="I67" s="416"/>
      <c r="J67" s="405"/>
      <c r="K67" s="406"/>
      <c r="L67" s="407"/>
      <c r="M67" s="407"/>
      <c r="N67" s="407"/>
      <c r="O67" s="407"/>
      <c r="P67" s="407"/>
      <c r="Q67" s="407"/>
      <c r="R67" s="407"/>
      <c r="S67" s="407"/>
      <c r="T67" s="407"/>
    </row>
    <row r="68" spans="1:20" s="2" customFormat="1" ht="13.8" hidden="1" outlineLevel="1">
      <c r="A68" s="351" t="s">
        <v>565</v>
      </c>
      <c r="B68" s="268" t="s">
        <v>566</v>
      </c>
      <c r="C68" s="248" t="s">
        <v>321</v>
      </c>
      <c r="D68" s="123"/>
      <c r="E68" s="123">
        <v>1</v>
      </c>
      <c r="F68" s="247">
        <f>MROUND(K68/$M$49,10)</f>
        <v>561800</v>
      </c>
      <c r="G68" s="372">
        <f t="shared" ref="G68" si="22">F68*E68</f>
        <v>561800</v>
      </c>
      <c r="H68" s="416"/>
      <c r="I68" s="416"/>
      <c r="J68" s="406">
        <f>G68</f>
        <v>561800</v>
      </c>
      <c r="K68" s="406">
        <f>500000*E68</f>
        <v>500000</v>
      </c>
      <c r="L68" s="407" t="s">
        <v>286</v>
      </c>
      <c r="M68" s="407"/>
      <c r="N68" s="407"/>
      <c r="O68" s="407"/>
      <c r="P68" s="407"/>
      <c r="Q68" s="407"/>
      <c r="R68" s="407"/>
      <c r="S68" s="407"/>
      <c r="T68" s="407"/>
    </row>
    <row r="69" spans="1:20" s="2" customFormat="1" hidden="1" outlineLevel="1">
      <c r="A69" s="348" t="s">
        <v>346</v>
      </c>
      <c r="B69" s="262" t="s">
        <v>325</v>
      </c>
      <c r="C69" s="246" t="s">
        <v>342</v>
      </c>
      <c r="D69" s="123"/>
      <c r="E69" s="123">
        <v>2</v>
      </c>
      <c r="F69" s="247">
        <f>MROUND(K69/$M$49,10)</f>
        <v>674160</v>
      </c>
      <c r="G69" s="372">
        <f t="shared" si="20"/>
        <v>1348320</v>
      </c>
      <c r="H69" s="416"/>
      <c r="I69" s="416"/>
      <c r="J69" s="405">
        <v>405000</v>
      </c>
      <c r="K69" s="406">
        <f>300000*E69</f>
        <v>600000</v>
      </c>
      <c r="L69" s="407"/>
      <c r="M69" s="407"/>
      <c r="N69" s="407"/>
      <c r="O69" s="407"/>
      <c r="P69" s="407"/>
      <c r="Q69" s="407"/>
      <c r="R69" s="407"/>
      <c r="S69" s="407"/>
      <c r="T69" s="407"/>
    </row>
    <row r="70" spans="1:20" s="2" customFormat="1" ht="26.4" hidden="1" outlineLevel="1">
      <c r="A70" s="348" t="s">
        <v>347</v>
      </c>
      <c r="B70" s="262" t="s">
        <v>337</v>
      </c>
      <c r="C70" s="246" t="s">
        <v>342</v>
      </c>
      <c r="D70" s="123"/>
      <c r="E70" s="123">
        <v>1</v>
      </c>
      <c r="F70" s="247">
        <f>MROUND(K70/$M$49,10)</f>
        <v>269660</v>
      </c>
      <c r="G70" s="372">
        <f>E70*F70</f>
        <v>269660</v>
      </c>
      <c r="H70" s="416"/>
      <c r="I70" s="416"/>
      <c r="J70" s="405">
        <v>324000</v>
      </c>
      <c r="K70" s="406">
        <f>240000*E70</f>
        <v>240000</v>
      </c>
      <c r="L70" s="407"/>
      <c r="M70" s="458">
        <f>SUM(K68:K70)</f>
        <v>1340000</v>
      </c>
      <c r="N70" s="407"/>
      <c r="O70" s="407"/>
      <c r="P70" s="407"/>
      <c r="Q70" s="407"/>
      <c r="R70" s="407"/>
      <c r="S70" s="407"/>
      <c r="T70" s="407"/>
    </row>
    <row r="71" spans="1:20" s="213" customFormat="1" ht="14.4" hidden="1" customHeight="1" outlineLevel="1">
      <c r="A71" s="352" t="s">
        <v>598</v>
      </c>
      <c r="B71" s="332" t="s">
        <v>599</v>
      </c>
      <c r="C71" s="333" t="s">
        <v>316</v>
      </c>
      <c r="D71" s="123">
        <v>1</v>
      </c>
      <c r="E71" s="123">
        <v>-150</v>
      </c>
      <c r="F71" s="334">
        <f>+$L$73</f>
        <v>21303.533333333333</v>
      </c>
      <c r="G71" s="375">
        <f>F71*E71*D71</f>
        <v>-3195530</v>
      </c>
      <c r="H71" s="521"/>
      <c r="I71" s="416"/>
      <c r="J71" s="520"/>
      <c r="K71" s="450"/>
      <c r="L71" s="591" t="s">
        <v>602</v>
      </c>
      <c r="M71" s="591"/>
      <c r="N71" s="214"/>
      <c r="O71" s="214"/>
      <c r="P71" s="214"/>
      <c r="Q71" s="214"/>
      <c r="R71" s="214"/>
      <c r="S71" s="214"/>
      <c r="T71" s="214"/>
    </row>
    <row r="72" spans="1:20" s="213" customFormat="1" hidden="1" outlineLevel="1">
      <c r="A72" s="352" t="s">
        <v>600</v>
      </c>
      <c r="B72" s="332" t="s">
        <v>601</v>
      </c>
      <c r="C72" s="333" t="s">
        <v>316</v>
      </c>
      <c r="D72" s="123">
        <v>1</v>
      </c>
      <c r="E72" s="123">
        <f>-250</f>
        <v>-250</v>
      </c>
      <c r="F72" s="334">
        <f>F71</f>
        <v>21303.533333333333</v>
      </c>
      <c r="G72" s="375">
        <f>F72*E72*D72</f>
        <v>-5325883.333333333</v>
      </c>
      <c r="H72" s="521"/>
      <c r="I72" s="416"/>
      <c r="J72" s="520"/>
      <c r="K72" s="450"/>
      <c r="L72" s="591"/>
      <c r="M72" s="591"/>
      <c r="N72" s="214"/>
      <c r="O72" s="214"/>
      <c r="P72" s="214"/>
      <c r="Q72" s="214"/>
      <c r="R72" s="214"/>
      <c r="S72" s="214"/>
      <c r="T72" s="214"/>
    </row>
    <row r="73" spans="1:20" s="2" customFormat="1" collapsed="1">
      <c r="A73" s="353"/>
      <c r="B73" s="313" t="s">
        <v>639</v>
      </c>
      <c r="C73" s="366" t="s">
        <v>316</v>
      </c>
      <c r="D73" s="123">
        <v>1</v>
      </c>
      <c r="E73" s="123">
        <v>1</v>
      </c>
      <c r="F73" s="247">
        <f>G73</f>
        <v>78065166.666666672</v>
      </c>
      <c r="G73" s="373">
        <f>SUM(G49:G72)</f>
        <v>78065166.666666672</v>
      </c>
      <c r="H73" s="416"/>
      <c r="I73" s="416"/>
      <c r="J73" s="522">
        <f>SUM(J49:J70)</f>
        <v>61554720</v>
      </c>
      <c r="K73" s="459">
        <f>SUM(K49:K70)</f>
        <v>49162000</v>
      </c>
      <c r="L73" s="589">
        <f>(K73/1500)*0.65</f>
        <v>21303.533333333333</v>
      </c>
      <c r="M73" s="590"/>
      <c r="N73" s="407"/>
      <c r="O73" s="407"/>
      <c r="P73" s="407"/>
      <c r="Q73" s="407"/>
      <c r="R73" s="407"/>
      <c r="S73" s="407"/>
      <c r="T73" s="407"/>
    </row>
    <row r="74" spans="1:20" s="2" customFormat="1">
      <c r="A74" s="349">
        <v>108.3</v>
      </c>
      <c r="B74" s="257" t="s">
        <v>640</v>
      </c>
      <c r="C74" s="39"/>
      <c r="D74" s="123"/>
      <c r="E74" s="123"/>
      <c r="F74" s="26"/>
      <c r="G74" s="27"/>
      <c r="H74" s="416"/>
      <c r="I74" s="416"/>
      <c r="J74" s="405"/>
      <c r="K74" s="406"/>
      <c r="L74" s="407"/>
      <c r="M74" s="407"/>
      <c r="N74" s="407"/>
      <c r="O74" s="407"/>
      <c r="P74" s="407"/>
      <c r="Q74" s="407"/>
      <c r="R74" s="407"/>
      <c r="S74" s="407"/>
      <c r="T74" s="407"/>
    </row>
    <row r="75" spans="1:20" s="2" customFormat="1" ht="26.4" hidden="1" outlineLevel="1">
      <c r="A75" s="263">
        <v>301</v>
      </c>
      <c r="B75" s="264" t="s">
        <v>348</v>
      </c>
      <c r="C75" s="253"/>
      <c r="D75" s="123"/>
      <c r="E75" s="123"/>
      <c r="F75" s="252"/>
      <c r="G75" s="374"/>
      <c r="H75" s="416"/>
      <c r="I75" s="416"/>
      <c r="J75" s="405"/>
      <c r="K75" s="406"/>
      <c r="L75" s="407"/>
      <c r="M75" s="407"/>
      <c r="N75" s="407"/>
      <c r="O75" s="407"/>
      <c r="P75" s="407"/>
      <c r="Q75" s="407"/>
      <c r="R75" s="407"/>
      <c r="S75" s="407"/>
      <c r="T75" s="407"/>
    </row>
    <row r="76" spans="1:20" s="2" customFormat="1" ht="13.8" hidden="1" outlineLevel="1">
      <c r="A76" s="271" t="s">
        <v>565</v>
      </c>
      <c r="B76" s="268" t="s">
        <v>567</v>
      </c>
      <c r="C76" s="248" t="s">
        <v>321</v>
      </c>
      <c r="D76" s="123"/>
      <c r="E76" s="123">
        <v>1</v>
      </c>
      <c r="F76" s="247">
        <f t="shared" ref="F76:F107" si="23">MROUND(K76/$M$49,10)</f>
        <v>786520</v>
      </c>
      <c r="G76" s="372">
        <f t="shared" ref="G76" si="24">F76*E76</f>
        <v>786520</v>
      </c>
      <c r="H76" s="416"/>
      <c r="I76" s="416"/>
      <c r="J76" s="406">
        <f>G76</f>
        <v>786520</v>
      </c>
      <c r="K76" s="407">
        <f>300000+200000+200000</f>
        <v>700000</v>
      </c>
      <c r="L76" s="407">
        <f>K76*E76</f>
        <v>700000</v>
      </c>
      <c r="M76" s="407"/>
      <c r="N76" s="407"/>
      <c r="O76" s="407"/>
      <c r="P76" s="407"/>
      <c r="Q76" s="407"/>
      <c r="R76" s="407"/>
      <c r="S76" s="407"/>
      <c r="T76" s="407"/>
    </row>
    <row r="77" spans="1:20" s="2" customFormat="1" hidden="1" outlineLevel="1">
      <c r="A77" s="237" t="s">
        <v>349</v>
      </c>
      <c r="B77" s="262" t="s">
        <v>350</v>
      </c>
      <c r="C77" s="246" t="s">
        <v>342</v>
      </c>
      <c r="D77" s="123"/>
      <c r="E77" s="123">
        <v>11</v>
      </c>
      <c r="F77" s="247">
        <f t="shared" si="23"/>
        <v>624160</v>
      </c>
      <c r="G77" s="372">
        <f t="shared" ref="G77:G143" si="25">E77*F77</f>
        <v>6865760</v>
      </c>
      <c r="H77" s="416"/>
      <c r="I77" s="416"/>
      <c r="J77" s="405">
        <v>749930</v>
      </c>
      <c r="K77" s="406">
        <v>555500</v>
      </c>
      <c r="L77" s="407">
        <f>K77*E77</f>
        <v>6110500</v>
      </c>
      <c r="M77" s="407"/>
      <c r="N77" s="407"/>
      <c r="O77" s="407"/>
      <c r="P77" s="407"/>
      <c r="Q77" s="407"/>
      <c r="R77" s="407"/>
      <c r="S77" s="407"/>
      <c r="T77" s="407"/>
    </row>
    <row r="78" spans="1:20" s="2" customFormat="1" hidden="1" outlineLevel="1">
      <c r="A78" s="237" t="s">
        <v>351</v>
      </c>
      <c r="B78" s="262" t="s">
        <v>352</v>
      </c>
      <c r="C78" s="246" t="s">
        <v>342</v>
      </c>
      <c r="D78" s="123"/>
      <c r="E78" s="123">
        <v>6</v>
      </c>
      <c r="F78" s="247">
        <f t="shared" si="23"/>
        <v>399440</v>
      </c>
      <c r="G78" s="372">
        <f t="shared" si="25"/>
        <v>2396640</v>
      </c>
      <c r="H78" s="416"/>
      <c r="I78" s="416"/>
      <c r="J78" s="405">
        <v>479930</v>
      </c>
      <c r="K78" s="406">
        <v>355500</v>
      </c>
      <c r="L78" s="407">
        <f>K78*E78</f>
        <v>2133000</v>
      </c>
      <c r="M78" s="407"/>
      <c r="N78" s="407"/>
      <c r="O78" s="407"/>
      <c r="P78" s="407"/>
      <c r="Q78" s="407"/>
      <c r="R78" s="407"/>
      <c r="S78" s="407"/>
      <c r="T78" s="407"/>
    </row>
    <row r="79" spans="1:20" s="2" customFormat="1" hidden="1" outlineLevel="1">
      <c r="A79" s="237" t="s">
        <v>353</v>
      </c>
      <c r="B79" s="262" t="s">
        <v>354</v>
      </c>
      <c r="C79" s="246" t="s">
        <v>111</v>
      </c>
      <c r="D79" s="123"/>
      <c r="E79" s="123">
        <v>550</v>
      </c>
      <c r="F79" s="247">
        <f t="shared" si="23"/>
        <v>7870</v>
      </c>
      <c r="G79" s="372">
        <f t="shared" si="25"/>
        <v>4328500</v>
      </c>
      <c r="H79" s="416"/>
      <c r="I79" s="416"/>
      <c r="J79" s="405">
        <v>9450</v>
      </c>
      <c r="K79" s="406">
        <v>7000</v>
      </c>
      <c r="L79" s="407">
        <f>K79*E79</f>
        <v>3850000</v>
      </c>
      <c r="M79" s="407"/>
      <c r="N79" s="407"/>
      <c r="O79" s="407"/>
      <c r="P79" s="407"/>
      <c r="Q79" s="407"/>
      <c r="R79" s="407"/>
      <c r="S79" s="407"/>
      <c r="T79" s="407"/>
    </row>
    <row r="80" spans="1:20" s="2" customFormat="1" hidden="1" outlineLevel="1">
      <c r="A80" s="237" t="s">
        <v>355</v>
      </c>
      <c r="B80" s="262" t="s">
        <v>356</v>
      </c>
      <c r="C80" s="246" t="s">
        <v>111</v>
      </c>
      <c r="D80" s="123"/>
      <c r="E80" s="123">
        <v>500</v>
      </c>
      <c r="F80" s="247">
        <f t="shared" si="23"/>
        <v>1120</v>
      </c>
      <c r="G80" s="372">
        <f t="shared" si="25"/>
        <v>560000</v>
      </c>
      <c r="H80" s="416"/>
      <c r="I80" s="416"/>
      <c r="J80" s="405">
        <v>1350</v>
      </c>
      <c r="K80" s="406">
        <v>1000</v>
      </c>
      <c r="L80" s="407">
        <f>K80*E80</f>
        <v>500000</v>
      </c>
      <c r="M80" s="407"/>
      <c r="N80" s="407"/>
      <c r="O80" s="407"/>
      <c r="P80" s="407"/>
      <c r="Q80" s="407"/>
      <c r="R80" s="407"/>
      <c r="S80" s="407"/>
      <c r="T80" s="407"/>
    </row>
    <row r="81" spans="1:20" s="2" customFormat="1" hidden="1" outlineLevel="1">
      <c r="A81" s="237" t="s">
        <v>357</v>
      </c>
      <c r="B81" s="262" t="s">
        <v>358</v>
      </c>
      <c r="C81" s="246" t="s">
        <v>316</v>
      </c>
      <c r="D81" s="123"/>
      <c r="E81" s="123">
        <v>1</v>
      </c>
      <c r="F81" s="247">
        <f t="shared" si="23"/>
        <v>442130</v>
      </c>
      <c r="G81" s="372">
        <f t="shared" si="25"/>
        <v>442130</v>
      </c>
      <c r="H81" s="416"/>
      <c r="I81" s="416"/>
      <c r="J81" s="405">
        <v>531230</v>
      </c>
      <c r="K81" s="406">
        <v>393500</v>
      </c>
      <c r="L81" s="407">
        <f>K81*E81</f>
        <v>393500</v>
      </c>
      <c r="M81" s="407"/>
      <c r="N81" s="407"/>
      <c r="O81" s="407"/>
      <c r="P81" s="407"/>
      <c r="Q81" s="407"/>
      <c r="R81" s="407"/>
      <c r="S81" s="407"/>
      <c r="T81" s="407"/>
    </row>
    <row r="82" spans="1:20" s="2" customFormat="1" hidden="1" outlineLevel="1">
      <c r="A82" s="237" t="s">
        <v>359</v>
      </c>
      <c r="B82" s="262" t="s">
        <v>360</v>
      </c>
      <c r="C82" s="246" t="s">
        <v>31</v>
      </c>
      <c r="D82" s="123"/>
      <c r="E82" s="123">
        <v>13</v>
      </c>
      <c r="F82" s="247">
        <f t="shared" si="23"/>
        <v>9550</v>
      </c>
      <c r="G82" s="372">
        <f t="shared" si="25"/>
        <v>124150</v>
      </c>
      <c r="H82" s="416"/>
      <c r="I82" s="416"/>
      <c r="J82" s="405">
        <v>11480</v>
      </c>
      <c r="K82" s="406">
        <v>8500</v>
      </c>
      <c r="L82" s="407">
        <f>K82*E82</f>
        <v>110500</v>
      </c>
      <c r="M82" s="407"/>
      <c r="N82" s="407"/>
      <c r="O82" s="407"/>
      <c r="P82" s="407"/>
      <c r="Q82" s="407"/>
      <c r="R82" s="407"/>
      <c r="S82" s="407"/>
      <c r="T82" s="407"/>
    </row>
    <row r="83" spans="1:20" s="2" customFormat="1" hidden="1" outlineLevel="1">
      <c r="A83" s="237" t="s">
        <v>361</v>
      </c>
      <c r="B83" s="262" t="s">
        <v>362</v>
      </c>
      <c r="C83" s="246" t="s">
        <v>31</v>
      </c>
      <c r="D83" s="123"/>
      <c r="E83" s="123">
        <v>12</v>
      </c>
      <c r="F83" s="247">
        <f t="shared" si="23"/>
        <v>21910</v>
      </c>
      <c r="G83" s="372">
        <f t="shared" si="25"/>
        <v>262920</v>
      </c>
      <c r="H83" s="416"/>
      <c r="I83" s="416"/>
      <c r="J83" s="405">
        <v>26330</v>
      </c>
      <c r="K83" s="406">
        <v>19500</v>
      </c>
      <c r="L83" s="407">
        <f>K83*E83</f>
        <v>234000</v>
      </c>
      <c r="M83" s="407"/>
      <c r="N83" s="407"/>
      <c r="O83" s="407"/>
      <c r="P83" s="407"/>
      <c r="Q83" s="407"/>
      <c r="R83" s="407"/>
      <c r="S83" s="407"/>
      <c r="T83" s="407"/>
    </row>
    <row r="84" spans="1:20" s="2" customFormat="1" hidden="1" outlineLevel="1">
      <c r="A84" s="237" t="s">
        <v>363</v>
      </c>
      <c r="B84" s="262" t="s">
        <v>364</v>
      </c>
      <c r="C84" s="246" t="s">
        <v>111</v>
      </c>
      <c r="D84" s="123"/>
      <c r="E84" s="123">
        <v>35</v>
      </c>
      <c r="F84" s="247">
        <f t="shared" si="23"/>
        <v>7840</v>
      </c>
      <c r="G84" s="372">
        <f t="shared" si="25"/>
        <v>274400</v>
      </c>
      <c r="H84" s="416"/>
      <c r="I84" s="416"/>
      <c r="J84" s="405">
        <v>9420</v>
      </c>
      <c r="K84" s="406">
        <v>6975</v>
      </c>
      <c r="L84" s="407">
        <f>K84*E84</f>
        <v>244125</v>
      </c>
      <c r="M84" s="407"/>
      <c r="N84" s="407"/>
      <c r="O84" s="407"/>
      <c r="P84" s="407"/>
      <c r="Q84" s="407"/>
      <c r="R84" s="407"/>
      <c r="S84" s="407"/>
      <c r="T84" s="407"/>
    </row>
    <row r="85" spans="1:20" s="2" customFormat="1" hidden="1" outlineLevel="1">
      <c r="A85" s="237" t="s">
        <v>365</v>
      </c>
      <c r="B85" s="262" t="s">
        <v>366</v>
      </c>
      <c r="C85" s="246" t="s">
        <v>111</v>
      </c>
      <c r="D85" s="123"/>
      <c r="E85" s="123">
        <v>50</v>
      </c>
      <c r="F85" s="247">
        <f t="shared" si="23"/>
        <v>6260</v>
      </c>
      <c r="G85" s="372">
        <f t="shared" si="25"/>
        <v>313000</v>
      </c>
      <c r="H85" s="416"/>
      <c r="I85" s="416"/>
      <c r="J85" s="405">
        <v>7530</v>
      </c>
      <c r="K85" s="406">
        <v>5575</v>
      </c>
      <c r="L85" s="407">
        <f>K85*E85</f>
        <v>278750</v>
      </c>
      <c r="M85" s="407"/>
      <c r="N85" s="407"/>
      <c r="O85" s="407"/>
      <c r="P85" s="407"/>
      <c r="Q85" s="407"/>
      <c r="R85" s="407"/>
      <c r="S85" s="407"/>
      <c r="T85" s="407"/>
    </row>
    <row r="86" spans="1:20" s="2" customFormat="1" hidden="1" outlineLevel="1">
      <c r="A86" s="237" t="s">
        <v>367</v>
      </c>
      <c r="B86" s="262" t="s">
        <v>368</v>
      </c>
      <c r="C86" s="246" t="s">
        <v>31</v>
      </c>
      <c r="D86" s="123"/>
      <c r="E86" s="123">
        <v>3</v>
      </c>
      <c r="F86" s="247">
        <f t="shared" si="23"/>
        <v>28600</v>
      </c>
      <c r="G86" s="372">
        <f t="shared" si="25"/>
        <v>85800</v>
      </c>
      <c r="H86" s="416"/>
      <c r="I86" s="416"/>
      <c r="J86" s="405">
        <v>34360</v>
      </c>
      <c r="K86" s="406">
        <v>25450</v>
      </c>
      <c r="L86" s="407">
        <f>K86*E86</f>
        <v>76350</v>
      </c>
      <c r="M86" s="407"/>
      <c r="N86" s="407"/>
      <c r="O86" s="407"/>
      <c r="P86" s="407"/>
      <c r="Q86" s="407"/>
      <c r="R86" s="407"/>
      <c r="S86" s="407"/>
      <c r="T86" s="407"/>
    </row>
    <row r="87" spans="1:20" s="2" customFormat="1" hidden="1" outlineLevel="1">
      <c r="A87" s="237" t="s">
        <v>369</v>
      </c>
      <c r="B87" s="262" t="s">
        <v>370</v>
      </c>
      <c r="C87" s="246" t="s">
        <v>31</v>
      </c>
      <c r="D87" s="123"/>
      <c r="E87" s="123">
        <v>9</v>
      </c>
      <c r="F87" s="247">
        <f t="shared" si="23"/>
        <v>15140</v>
      </c>
      <c r="G87" s="372">
        <f t="shared" si="25"/>
        <v>136260</v>
      </c>
      <c r="H87" s="416"/>
      <c r="I87" s="416"/>
      <c r="J87" s="405">
        <v>18190</v>
      </c>
      <c r="K87" s="406">
        <v>13475</v>
      </c>
      <c r="L87" s="407">
        <f>K87*E87</f>
        <v>121275</v>
      </c>
      <c r="M87" s="407"/>
      <c r="N87" s="407"/>
      <c r="O87" s="407"/>
      <c r="P87" s="407"/>
      <c r="Q87" s="407"/>
      <c r="R87" s="407"/>
      <c r="S87" s="407"/>
      <c r="T87" s="407"/>
    </row>
    <row r="88" spans="1:20" s="2" customFormat="1" hidden="1" outlineLevel="1">
      <c r="A88" s="237" t="s">
        <v>371</v>
      </c>
      <c r="B88" s="262" t="s">
        <v>372</v>
      </c>
      <c r="C88" s="246" t="s">
        <v>31</v>
      </c>
      <c r="D88" s="123"/>
      <c r="E88" s="123">
        <v>1</v>
      </c>
      <c r="F88" s="247">
        <f t="shared" si="23"/>
        <v>1404490</v>
      </c>
      <c r="G88" s="372">
        <f t="shared" si="25"/>
        <v>1404490</v>
      </c>
      <c r="H88" s="416"/>
      <c r="I88" s="416"/>
      <c r="J88" s="405">
        <v>1687500</v>
      </c>
      <c r="K88" s="406">
        <v>1250000</v>
      </c>
      <c r="L88" s="407">
        <f>K88*E88</f>
        <v>1250000</v>
      </c>
      <c r="M88" s="407"/>
      <c r="N88" s="407"/>
      <c r="O88" s="407"/>
      <c r="P88" s="407"/>
      <c r="Q88" s="407"/>
      <c r="R88" s="407"/>
      <c r="S88" s="407"/>
      <c r="T88" s="407"/>
    </row>
    <row r="89" spans="1:20" s="2" customFormat="1" hidden="1" outlineLevel="1">
      <c r="A89" s="237" t="s">
        <v>373</v>
      </c>
      <c r="B89" s="262" t="s">
        <v>374</v>
      </c>
      <c r="C89" s="246" t="s">
        <v>316</v>
      </c>
      <c r="D89" s="123"/>
      <c r="E89" s="123">
        <v>1</v>
      </c>
      <c r="F89" s="247">
        <f t="shared" si="23"/>
        <v>1247640</v>
      </c>
      <c r="G89" s="372">
        <f t="shared" si="25"/>
        <v>1247640</v>
      </c>
      <c r="H89" s="416"/>
      <c r="I89" s="416"/>
      <c r="J89" s="405">
        <v>1499040</v>
      </c>
      <c r="K89" s="406">
        <v>1110400</v>
      </c>
      <c r="L89" s="407">
        <f>K89*E89</f>
        <v>1110400</v>
      </c>
      <c r="M89" s="407"/>
      <c r="N89" s="407"/>
      <c r="O89" s="407"/>
      <c r="P89" s="407"/>
      <c r="Q89" s="407"/>
      <c r="R89" s="407"/>
      <c r="S89" s="407"/>
      <c r="T89" s="407"/>
    </row>
    <row r="90" spans="1:20" s="2" customFormat="1" hidden="1" outlineLevel="1">
      <c r="A90" s="237" t="s">
        <v>375</v>
      </c>
      <c r="B90" s="262" t="s">
        <v>376</v>
      </c>
      <c r="C90" s="246" t="s">
        <v>316</v>
      </c>
      <c r="D90" s="123"/>
      <c r="E90" s="123">
        <v>1</v>
      </c>
      <c r="F90" s="247">
        <f t="shared" si="23"/>
        <v>591830</v>
      </c>
      <c r="G90" s="376">
        <f t="shared" si="25"/>
        <v>591830</v>
      </c>
      <c r="H90" s="416"/>
      <c r="I90" s="416"/>
      <c r="J90" s="405">
        <v>711080</v>
      </c>
      <c r="K90" s="406">
        <v>526725</v>
      </c>
      <c r="L90" s="407">
        <f>K90*E90</f>
        <v>526725</v>
      </c>
      <c r="M90" s="407"/>
      <c r="N90" s="407"/>
      <c r="O90" s="407"/>
      <c r="P90" s="407"/>
      <c r="Q90" s="407"/>
      <c r="R90" s="407"/>
      <c r="S90" s="407"/>
      <c r="T90" s="407"/>
    </row>
    <row r="91" spans="1:20" s="2" customFormat="1" hidden="1" outlineLevel="1">
      <c r="A91" s="237" t="s">
        <v>377</v>
      </c>
      <c r="B91" s="262" t="s">
        <v>378</v>
      </c>
      <c r="C91" s="246" t="s">
        <v>31</v>
      </c>
      <c r="D91" s="123"/>
      <c r="E91" s="123">
        <v>28</v>
      </c>
      <c r="F91" s="247">
        <f t="shared" si="23"/>
        <v>39330</v>
      </c>
      <c r="G91" s="372">
        <f t="shared" si="25"/>
        <v>1101240</v>
      </c>
      <c r="H91" s="416"/>
      <c r="I91" s="416"/>
      <c r="J91" s="405">
        <v>47250</v>
      </c>
      <c r="K91" s="406">
        <v>35000</v>
      </c>
      <c r="L91" s="407">
        <f>K91*E91</f>
        <v>980000</v>
      </c>
      <c r="M91" s="407"/>
      <c r="N91" s="407"/>
      <c r="O91" s="407"/>
      <c r="P91" s="407"/>
      <c r="Q91" s="407"/>
      <c r="R91" s="407"/>
      <c r="S91" s="407"/>
      <c r="T91" s="407"/>
    </row>
    <row r="92" spans="1:20" s="2" customFormat="1" hidden="1" outlineLevel="1">
      <c r="A92" s="237" t="s">
        <v>379</v>
      </c>
      <c r="B92" s="262" t="s">
        <v>380</v>
      </c>
      <c r="C92" s="246" t="s">
        <v>31</v>
      </c>
      <c r="D92" s="123"/>
      <c r="E92" s="123">
        <v>1</v>
      </c>
      <c r="F92" s="247">
        <f t="shared" si="23"/>
        <v>842700</v>
      </c>
      <c r="G92" s="372">
        <f t="shared" si="25"/>
        <v>842700</v>
      </c>
      <c r="H92" s="416"/>
      <c r="I92" s="416"/>
      <c r="J92" s="405">
        <v>1012500</v>
      </c>
      <c r="K92" s="406">
        <v>750000</v>
      </c>
      <c r="L92" s="407">
        <f>K92*E92</f>
        <v>750000</v>
      </c>
      <c r="M92" s="407"/>
      <c r="N92" s="407"/>
      <c r="O92" s="407"/>
      <c r="P92" s="407"/>
      <c r="Q92" s="407"/>
      <c r="R92" s="407"/>
      <c r="S92" s="407"/>
      <c r="T92" s="407"/>
    </row>
    <row r="93" spans="1:20" s="2" customFormat="1" hidden="1" outlineLevel="1">
      <c r="A93" s="237" t="s">
        <v>381</v>
      </c>
      <c r="B93" s="262" t="s">
        <v>382</v>
      </c>
      <c r="C93" s="246" t="s">
        <v>31</v>
      </c>
      <c r="D93" s="123"/>
      <c r="E93" s="123">
        <v>1</v>
      </c>
      <c r="F93" s="247">
        <f t="shared" si="23"/>
        <v>534350</v>
      </c>
      <c r="G93" s="372">
        <f t="shared" si="25"/>
        <v>534350</v>
      </c>
      <c r="H93" s="416"/>
      <c r="I93" s="416"/>
      <c r="J93" s="405">
        <v>642030</v>
      </c>
      <c r="K93" s="406">
        <v>475575</v>
      </c>
      <c r="L93" s="407">
        <f>K93*E93</f>
        <v>475575</v>
      </c>
      <c r="M93" s="407"/>
      <c r="N93" s="407"/>
      <c r="O93" s="407"/>
      <c r="P93" s="407"/>
      <c r="Q93" s="407"/>
      <c r="R93" s="407"/>
      <c r="S93" s="407"/>
      <c r="T93" s="407"/>
    </row>
    <row r="94" spans="1:20" s="2" customFormat="1" hidden="1" outlineLevel="1">
      <c r="A94" s="237" t="s">
        <v>383</v>
      </c>
      <c r="B94" s="262" t="s">
        <v>384</v>
      </c>
      <c r="C94" s="246" t="s">
        <v>31</v>
      </c>
      <c r="D94" s="123"/>
      <c r="E94" s="123">
        <v>1</v>
      </c>
      <c r="F94" s="247">
        <f t="shared" si="23"/>
        <v>140960</v>
      </c>
      <c r="G94" s="372">
        <f t="shared" si="25"/>
        <v>140960</v>
      </c>
      <c r="H94" s="416"/>
      <c r="I94" s="416"/>
      <c r="J94" s="405">
        <v>169360</v>
      </c>
      <c r="K94" s="406">
        <v>125450</v>
      </c>
      <c r="L94" s="407">
        <f>K94*E94</f>
        <v>125450</v>
      </c>
      <c r="M94" s="407"/>
      <c r="N94" s="407"/>
      <c r="O94" s="407"/>
      <c r="P94" s="407"/>
      <c r="Q94" s="407"/>
      <c r="R94" s="407"/>
      <c r="S94" s="407"/>
      <c r="T94" s="407"/>
    </row>
    <row r="95" spans="1:20" s="2" customFormat="1" hidden="1" outlineLevel="1">
      <c r="A95" s="237" t="s">
        <v>385</v>
      </c>
      <c r="B95" s="262" t="s">
        <v>386</v>
      </c>
      <c r="C95" s="246" t="s">
        <v>111</v>
      </c>
      <c r="D95" s="123"/>
      <c r="E95" s="123">
        <v>300</v>
      </c>
      <c r="F95" s="247">
        <f t="shared" si="23"/>
        <v>2810</v>
      </c>
      <c r="G95" s="372">
        <f t="shared" si="25"/>
        <v>843000</v>
      </c>
      <c r="H95" s="416"/>
      <c r="I95" s="416"/>
      <c r="J95" s="405">
        <v>3380</v>
      </c>
      <c r="K95" s="406">
        <v>2500</v>
      </c>
      <c r="L95" s="407">
        <f>K95*E95</f>
        <v>750000</v>
      </c>
      <c r="M95" s="407"/>
      <c r="N95" s="407"/>
      <c r="O95" s="407"/>
      <c r="P95" s="407"/>
      <c r="Q95" s="407"/>
      <c r="R95" s="407"/>
      <c r="S95" s="407"/>
      <c r="T95" s="407"/>
    </row>
    <row r="96" spans="1:20" s="2" customFormat="1" hidden="1" outlineLevel="1">
      <c r="A96" s="237"/>
      <c r="B96" s="293" t="s">
        <v>568</v>
      </c>
      <c r="C96" s="246"/>
      <c r="D96" s="123"/>
      <c r="E96" s="123"/>
      <c r="F96" s="247">
        <f t="shared" si="23"/>
        <v>0</v>
      </c>
      <c r="G96" s="372"/>
      <c r="H96" s="416"/>
      <c r="I96" s="416"/>
      <c r="J96" s="405"/>
      <c r="K96" s="406"/>
      <c r="L96" s="407"/>
      <c r="M96" s="407"/>
      <c r="N96" s="407"/>
      <c r="O96" s="407"/>
      <c r="P96" s="407"/>
      <c r="Q96" s="407"/>
      <c r="R96" s="407"/>
      <c r="S96" s="407"/>
      <c r="T96" s="407"/>
    </row>
    <row r="97" spans="1:20" s="2" customFormat="1" hidden="1" outlineLevel="1">
      <c r="A97" s="237" t="s">
        <v>387</v>
      </c>
      <c r="B97" s="262" t="s">
        <v>388</v>
      </c>
      <c r="C97" s="246" t="s">
        <v>31</v>
      </c>
      <c r="D97" s="123"/>
      <c r="E97" s="123">
        <v>1</v>
      </c>
      <c r="F97" s="247">
        <f t="shared" si="23"/>
        <v>112360</v>
      </c>
      <c r="G97" s="372">
        <f t="shared" si="25"/>
        <v>112360</v>
      </c>
      <c r="H97" s="416"/>
      <c r="I97" s="416"/>
      <c r="J97" s="405">
        <v>135000</v>
      </c>
      <c r="K97" s="406">
        <v>100000</v>
      </c>
      <c r="L97" s="407">
        <f>K97*E97</f>
        <v>100000</v>
      </c>
      <c r="M97" s="407"/>
      <c r="N97" s="407"/>
      <c r="O97" s="407"/>
      <c r="P97" s="407"/>
      <c r="Q97" s="407"/>
      <c r="R97" s="407"/>
      <c r="S97" s="407"/>
      <c r="T97" s="407"/>
    </row>
    <row r="98" spans="1:20" s="2" customFormat="1" hidden="1" outlineLevel="1">
      <c r="A98" s="237" t="s">
        <v>389</v>
      </c>
      <c r="B98" s="262" t="s">
        <v>390</v>
      </c>
      <c r="C98" s="246" t="s">
        <v>31</v>
      </c>
      <c r="D98" s="123"/>
      <c r="E98" s="123">
        <v>18</v>
      </c>
      <c r="F98" s="247">
        <f t="shared" si="23"/>
        <v>112360</v>
      </c>
      <c r="G98" s="372">
        <f t="shared" si="25"/>
        <v>2022480</v>
      </c>
      <c r="H98" s="416"/>
      <c r="I98" s="416"/>
      <c r="J98" s="405">
        <v>135000</v>
      </c>
      <c r="K98" s="406">
        <v>100000</v>
      </c>
      <c r="L98" s="407">
        <f>K98*E98</f>
        <v>1800000</v>
      </c>
      <c r="M98" s="407"/>
      <c r="N98" s="407"/>
      <c r="O98" s="407"/>
      <c r="P98" s="407"/>
      <c r="Q98" s="407"/>
      <c r="R98" s="407"/>
      <c r="S98" s="407"/>
      <c r="T98" s="407"/>
    </row>
    <row r="99" spans="1:20" s="2" customFormat="1" hidden="1" outlineLevel="1">
      <c r="A99" s="237" t="s">
        <v>391</v>
      </c>
      <c r="B99" s="262" t="s">
        <v>392</v>
      </c>
      <c r="C99" s="246" t="s">
        <v>316</v>
      </c>
      <c r="D99" s="123"/>
      <c r="E99" s="123">
        <v>1</v>
      </c>
      <c r="F99" s="247">
        <f t="shared" si="23"/>
        <v>842700</v>
      </c>
      <c r="G99" s="372">
        <f t="shared" si="25"/>
        <v>842700</v>
      </c>
      <c r="H99" s="416"/>
      <c r="I99" s="416"/>
      <c r="J99" s="405">
        <v>1012500</v>
      </c>
      <c r="K99" s="406">
        <v>750000</v>
      </c>
      <c r="L99" s="407">
        <f>K99*E99</f>
        <v>750000</v>
      </c>
      <c r="M99" s="407"/>
      <c r="N99" s="407"/>
      <c r="O99" s="407"/>
      <c r="P99" s="407"/>
      <c r="Q99" s="407"/>
      <c r="R99" s="407"/>
      <c r="S99" s="407"/>
      <c r="T99" s="407"/>
    </row>
    <row r="100" spans="1:20" s="2" customFormat="1" hidden="1" outlineLevel="1">
      <c r="A100" s="237" t="s">
        <v>393</v>
      </c>
      <c r="B100" s="262" t="s">
        <v>394</v>
      </c>
      <c r="C100" s="246" t="s">
        <v>316</v>
      </c>
      <c r="D100" s="123"/>
      <c r="E100" s="123">
        <v>1</v>
      </c>
      <c r="F100" s="247">
        <f t="shared" si="23"/>
        <v>1528090</v>
      </c>
      <c r="G100" s="372">
        <f t="shared" si="25"/>
        <v>1528090</v>
      </c>
      <c r="H100" s="416"/>
      <c r="I100" s="416"/>
      <c r="J100" s="405">
        <v>1836000</v>
      </c>
      <c r="K100" s="406">
        <v>1360000</v>
      </c>
      <c r="L100" s="407">
        <f>K100*E100</f>
        <v>1360000</v>
      </c>
      <c r="M100" s="407"/>
      <c r="N100" s="407"/>
      <c r="O100" s="407"/>
      <c r="P100" s="407"/>
      <c r="Q100" s="407"/>
      <c r="R100" s="407"/>
      <c r="S100" s="407"/>
      <c r="T100" s="407"/>
    </row>
    <row r="101" spans="1:20" s="2" customFormat="1" hidden="1" outlineLevel="1">
      <c r="A101" s="237" t="s">
        <v>395</v>
      </c>
      <c r="B101" s="262" t="s">
        <v>396</v>
      </c>
      <c r="C101" s="246" t="s">
        <v>316</v>
      </c>
      <c r="D101" s="123"/>
      <c r="E101" s="123">
        <v>1</v>
      </c>
      <c r="F101" s="247">
        <f t="shared" si="23"/>
        <v>337080</v>
      </c>
      <c r="G101" s="372">
        <f t="shared" si="25"/>
        <v>337080</v>
      </c>
      <c r="H101" s="416"/>
      <c r="I101" s="416"/>
      <c r="J101" s="405">
        <v>405000</v>
      </c>
      <c r="K101" s="406">
        <v>300000</v>
      </c>
      <c r="L101" s="407">
        <f>K101*E101</f>
        <v>300000</v>
      </c>
      <c r="M101" s="407"/>
      <c r="N101" s="407"/>
      <c r="O101" s="407"/>
      <c r="P101" s="407"/>
      <c r="Q101" s="407"/>
      <c r="R101" s="407"/>
      <c r="S101" s="407"/>
      <c r="T101" s="407"/>
    </row>
    <row r="102" spans="1:20" s="2" customFormat="1" hidden="1" outlineLevel="1">
      <c r="A102" s="237" t="s">
        <v>397</v>
      </c>
      <c r="B102" s="262" t="s">
        <v>398</v>
      </c>
      <c r="C102" s="246" t="s">
        <v>316</v>
      </c>
      <c r="D102" s="123"/>
      <c r="E102" s="123">
        <v>1</v>
      </c>
      <c r="F102" s="247">
        <f t="shared" si="23"/>
        <v>926970</v>
      </c>
      <c r="G102" s="372">
        <f t="shared" si="25"/>
        <v>926970</v>
      </c>
      <c r="H102" s="416"/>
      <c r="I102" s="416"/>
      <c r="J102" s="405">
        <v>1113750</v>
      </c>
      <c r="K102" s="406">
        <v>825000</v>
      </c>
      <c r="L102" s="407">
        <f>K102*E102</f>
        <v>825000</v>
      </c>
      <c r="M102" s="407"/>
      <c r="N102" s="407"/>
      <c r="O102" s="407"/>
      <c r="P102" s="407"/>
      <c r="Q102" s="407"/>
      <c r="R102" s="407"/>
      <c r="S102" s="407"/>
      <c r="T102" s="407"/>
    </row>
    <row r="103" spans="1:20" s="2" customFormat="1" hidden="1" outlineLevel="1">
      <c r="A103" s="237" t="s">
        <v>399</v>
      </c>
      <c r="B103" s="262" t="s">
        <v>400</v>
      </c>
      <c r="C103" s="246" t="s">
        <v>316</v>
      </c>
      <c r="D103" s="123"/>
      <c r="E103" s="123">
        <v>1</v>
      </c>
      <c r="F103" s="247">
        <f t="shared" si="23"/>
        <v>196630</v>
      </c>
      <c r="G103" s="372">
        <f t="shared" si="25"/>
        <v>196630</v>
      </c>
      <c r="H103" s="416"/>
      <c r="I103" s="416"/>
      <c r="J103" s="405">
        <v>236250</v>
      </c>
      <c r="K103" s="406">
        <v>175000</v>
      </c>
      <c r="L103" s="407">
        <f>K103*E103</f>
        <v>175000</v>
      </c>
      <c r="M103" s="407"/>
      <c r="N103" s="407"/>
      <c r="O103" s="407"/>
      <c r="P103" s="407"/>
      <c r="Q103" s="407"/>
      <c r="R103" s="407"/>
      <c r="S103" s="407"/>
      <c r="T103" s="407"/>
    </row>
    <row r="104" spans="1:20" s="2" customFormat="1" hidden="1" outlineLevel="1">
      <c r="A104" s="237" t="s">
        <v>401</v>
      </c>
      <c r="B104" s="262" t="s">
        <v>402</v>
      </c>
      <c r="C104" s="246" t="s">
        <v>316</v>
      </c>
      <c r="D104" s="123"/>
      <c r="E104" s="123">
        <v>1</v>
      </c>
      <c r="F104" s="247">
        <f t="shared" si="23"/>
        <v>3134830</v>
      </c>
      <c r="G104" s="372">
        <f t="shared" si="25"/>
        <v>3134830</v>
      </c>
      <c r="H104" s="416"/>
      <c r="I104" s="416"/>
      <c r="J104" s="405">
        <v>3766500</v>
      </c>
      <c r="K104" s="406">
        <v>2790000</v>
      </c>
      <c r="L104" s="407">
        <f>K104*E104</f>
        <v>2790000</v>
      </c>
      <c r="M104" s="407"/>
      <c r="N104" s="407"/>
      <c r="O104" s="407"/>
      <c r="P104" s="407"/>
      <c r="Q104" s="407"/>
      <c r="R104" s="407"/>
      <c r="S104" s="407"/>
      <c r="T104" s="407"/>
    </row>
    <row r="105" spans="1:20" s="2" customFormat="1" hidden="1" outlineLevel="1">
      <c r="A105" s="237" t="s">
        <v>403</v>
      </c>
      <c r="B105" s="262" t="s">
        <v>404</v>
      </c>
      <c r="C105" s="246" t="s">
        <v>31</v>
      </c>
      <c r="D105" s="123"/>
      <c r="E105" s="123">
        <v>3</v>
      </c>
      <c r="F105" s="247">
        <f t="shared" si="23"/>
        <v>196630</v>
      </c>
      <c r="G105" s="372">
        <f t="shared" si="25"/>
        <v>589890</v>
      </c>
      <c r="H105" s="416"/>
      <c r="I105" s="416"/>
      <c r="J105" s="405">
        <v>236250</v>
      </c>
      <c r="K105" s="406">
        <v>175000</v>
      </c>
      <c r="L105" s="407">
        <f>K105*E105</f>
        <v>525000</v>
      </c>
      <c r="M105" s="407"/>
      <c r="N105" s="407"/>
      <c r="O105" s="407"/>
      <c r="P105" s="407"/>
      <c r="Q105" s="407"/>
      <c r="R105" s="407"/>
      <c r="S105" s="407"/>
      <c r="T105" s="407"/>
    </row>
    <row r="106" spans="1:20" s="2" customFormat="1" hidden="1" outlineLevel="1">
      <c r="A106" s="237" t="s">
        <v>405</v>
      </c>
      <c r="B106" s="262" t="s">
        <v>406</v>
      </c>
      <c r="C106" s="246" t="s">
        <v>316</v>
      </c>
      <c r="D106" s="123"/>
      <c r="E106" s="123">
        <v>1</v>
      </c>
      <c r="F106" s="247">
        <f t="shared" si="23"/>
        <v>955060</v>
      </c>
      <c r="G106" s="372">
        <f t="shared" si="25"/>
        <v>955060</v>
      </c>
      <c r="H106" s="416"/>
      <c r="I106" s="416"/>
      <c r="J106" s="405">
        <v>1147500</v>
      </c>
      <c r="K106" s="406">
        <v>850000</v>
      </c>
      <c r="L106" s="407">
        <f>K106*E106</f>
        <v>850000</v>
      </c>
      <c r="M106" s="407"/>
      <c r="N106" s="407"/>
      <c r="O106" s="407"/>
      <c r="P106" s="407"/>
      <c r="Q106" s="407"/>
      <c r="R106" s="407"/>
      <c r="S106" s="407"/>
      <c r="T106" s="407"/>
    </row>
    <row r="107" spans="1:20" s="2" customFormat="1" hidden="1" outlineLevel="1">
      <c r="A107" s="237" t="s">
        <v>407</v>
      </c>
      <c r="B107" s="262" t="s">
        <v>408</v>
      </c>
      <c r="C107" s="246" t="s">
        <v>316</v>
      </c>
      <c r="D107" s="123"/>
      <c r="E107" s="123">
        <v>1</v>
      </c>
      <c r="F107" s="247">
        <f t="shared" si="23"/>
        <v>280900</v>
      </c>
      <c r="G107" s="372">
        <f t="shared" si="25"/>
        <v>280900</v>
      </c>
      <c r="H107" s="416"/>
      <c r="I107" s="416"/>
      <c r="J107" s="405">
        <v>337500</v>
      </c>
      <c r="K107" s="406">
        <v>250000</v>
      </c>
      <c r="L107" s="407">
        <f>K107*E107</f>
        <v>250000</v>
      </c>
      <c r="M107" s="460">
        <f>SUM(L76:L107)</f>
        <v>30445150</v>
      </c>
      <c r="N107" s="407"/>
      <c r="O107" s="407"/>
      <c r="P107" s="407"/>
      <c r="Q107" s="407"/>
      <c r="R107" s="407"/>
      <c r="S107" s="407"/>
      <c r="T107" s="407"/>
    </row>
    <row r="108" spans="1:20" s="2" customFormat="1" hidden="1" outlineLevel="1">
      <c r="A108" s="263">
        <v>302</v>
      </c>
      <c r="B108" s="264" t="s">
        <v>409</v>
      </c>
      <c r="C108" s="253"/>
      <c r="D108" s="123"/>
      <c r="E108" s="123"/>
      <c r="F108" s="252"/>
      <c r="G108" s="374"/>
      <c r="H108" s="416"/>
      <c r="I108" s="416"/>
      <c r="J108" s="405"/>
      <c r="K108" s="406"/>
      <c r="L108" s="407">
        <f>K108*E108</f>
        <v>0</v>
      </c>
      <c r="M108" s="407"/>
      <c r="N108" s="407"/>
      <c r="O108" s="407"/>
      <c r="P108" s="407"/>
      <c r="Q108" s="407"/>
      <c r="R108" s="407"/>
      <c r="S108" s="407"/>
      <c r="T108" s="407"/>
    </row>
    <row r="109" spans="1:20" s="2" customFormat="1" ht="13.8" hidden="1" outlineLevel="1">
      <c r="A109" s="271" t="s">
        <v>565</v>
      </c>
      <c r="B109" s="268" t="s">
        <v>567</v>
      </c>
      <c r="C109" s="248" t="s">
        <v>321</v>
      </c>
      <c r="D109" s="123"/>
      <c r="E109" s="123">
        <v>1</v>
      </c>
      <c r="F109" s="247">
        <f t="shared" ref="F109:F172" si="26">MROUND(K109/$M$49,10)</f>
        <v>786520</v>
      </c>
      <c r="G109" s="372">
        <f t="shared" ref="G109" si="27">F109*E109</f>
        <v>786520</v>
      </c>
      <c r="H109" s="416"/>
      <c r="I109" s="416"/>
      <c r="J109" s="406">
        <f>G109</f>
        <v>786520</v>
      </c>
      <c r="K109" s="407">
        <f>300000+200000+200000</f>
        <v>700000</v>
      </c>
      <c r="L109" s="407">
        <f>K109*E109</f>
        <v>700000</v>
      </c>
      <c r="M109" s="407"/>
      <c r="N109" s="407"/>
      <c r="O109" s="407"/>
      <c r="P109" s="407"/>
      <c r="Q109" s="407"/>
      <c r="R109" s="407"/>
      <c r="S109" s="407"/>
      <c r="T109" s="407"/>
    </row>
    <row r="110" spans="1:20" s="2" customFormat="1" hidden="1" outlineLevel="1">
      <c r="A110" s="237" t="s">
        <v>410</v>
      </c>
      <c r="B110" s="262" t="s">
        <v>411</v>
      </c>
      <c r="C110" s="17" t="s">
        <v>412</v>
      </c>
      <c r="D110" s="123"/>
      <c r="E110" s="123">
        <v>1</v>
      </c>
      <c r="F110" s="247">
        <f t="shared" si="26"/>
        <v>337080</v>
      </c>
      <c r="G110" s="372">
        <f t="shared" si="25"/>
        <v>337080</v>
      </c>
      <c r="H110" s="416"/>
      <c r="I110" s="416"/>
      <c r="J110" s="405">
        <v>405000</v>
      </c>
      <c r="K110" s="406">
        <v>300000</v>
      </c>
      <c r="L110" s="407">
        <f>K110*E110</f>
        <v>300000</v>
      </c>
      <c r="M110" s="407"/>
      <c r="N110" s="407"/>
      <c r="O110" s="407"/>
      <c r="P110" s="407"/>
      <c r="Q110" s="407"/>
      <c r="R110" s="407"/>
      <c r="S110" s="407"/>
      <c r="T110" s="407"/>
    </row>
    <row r="111" spans="1:20" s="2" customFormat="1" hidden="1" outlineLevel="1">
      <c r="A111" s="237" t="s">
        <v>413</v>
      </c>
      <c r="B111" s="262" t="s">
        <v>354</v>
      </c>
      <c r="C111" s="17" t="s">
        <v>111</v>
      </c>
      <c r="D111" s="123"/>
      <c r="E111" s="123">
        <v>550</v>
      </c>
      <c r="F111" s="247">
        <f t="shared" si="26"/>
        <v>7870</v>
      </c>
      <c r="G111" s="372">
        <f t="shared" si="25"/>
        <v>4328500</v>
      </c>
      <c r="H111" s="416"/>
      <c r="I111" s="416"/>
      <c r="J111" s="405">
        <v>9450</v>
      </c>
      <c r="K111" s="406">
        <v>7000</v>
      </c>
      <c r="L111" s="407">
        <f>K111*E111</f>
        <v>3850000</v>
      </c>
      <c r="M111" s="407"/>
      <c r="N111" s="407"/>
      <c r="O111" s="407"/>
      <c r="P111" s="407"/>
      <c r="Q111" s="407"/>
      <c r="R111" s="407"/>
      <c r="S111" s="407"/>
      <c r="T111" s="407"/>
    </row>
    <row r="112" spans="1:20" s="2" customFormat="1" hidden="1" outlineLevel="1">
      <c r="A112" s="237" t="s">
        <v>414</v>
      </c>
      <c r="B112" s="265" t="s">
        <v>356</v>
      </c>
      <c r="C112" s="17" t="s">
        <v>111</v>
      </c>
      <c r="D112" s="123"/>
      <c r="E112" s="123">
        <v>500</v>
      </c>
      <c r="F112" s="247">
        <f t="shared" si="26"/>
        <v>1120</v>
      </c>
      <c r="G112" s="372">
        <f t="shared" si="25"/>
        <v>560000</v>
      </c>
      <c r="H112" s="416"/>
      <c r="I112" s="416"/>
      <c r="J112" s="405">
        <v>1350</v>
      </c>
      <c r="K112" s="406">
        <v>1000</v>
      </c>
      <c r="L112" s="407">
        <f>K112*E112</f>
        <v>500000</v>
      </c>
      <c r="M112" s="407"/>
      <c r="N112" s="407"/>
      <c r="O112" s="407"/>
      <c r="P112" s="407"/>
      <c r="Q112" s="407"/>
      <c r="R112" s="407"/>
      <c r="S112" s="407"/>
      <c r="T112" s="407"/>
    </row>
    <row r="113" spans="1:20" s="2" customFormat="1" hidden="1" outlineLevel="1">
      <c r="A113" s="266" t="s">
        <v>415</v>
      </c>
      <c r="B113" s="267" t="s">
        <v>416</v>
      </c>
      <c r="C113" s="255" t="s">
        <v>316</v>
      </c>
      <c r="D113" s="123"/>
      <c r="E113" s="123">
        <v>1</v>
      </c>
      <c r="F113" s="247">
        <f t="shared" si="26"/>
        <v>0</v>
      </c>
      <c r="G113" s="377">
        <f t="shared" si="25"/>
        <v>0</v>
      </c>
      <c r="H113" s="416"/>
      <c r="I113" s="416"/>
      <c r="J113" s="405">
        <v>0</v>
      </c>
      <c r="K113" s="406">
        <v>0</v>
      </c>
      <c r="L113" s="407">
        <f>K113*E113</f>
        <v>0</v>
      </c>
      <c r="M113" s="407"/>
      <c r="N113" s="407"/>
      <c r="O113" s="407"/>
      <c r="P113" s="407"/>
      <c r="Q113" s="407"/>
      <c r="R113" s="407"/>
      <c r="S113" s="407"/>
      <c r="T113" s="407"/>
    </row>
    <row r="114" spans="1:20" s="2" customFormat="1" hidden="1" outlineLevel="1">
      <c r="A114" s="237" t="s">
        <v>417</v>
      </c>
      <c r="B114" s="265" t="s">
        <v>418</v>
      </c>
      <c r="C114" s="246" t="s">
        <v>31</v>
      </c>
      <c r="D114" s="123"/>
      <c r="E114" s="123">
        <v>1</v>
      </c>
      <c r="F114" s="247">
        <f t="shared" si="26"/>
        <v>1404490</v>
      </c>
      <c r="G114" s="372">
        <f t="shared" si="25"/>
        <v>1404490</v>
      </c>
      <c r="H114" s="416"/>
      <c r="I114" s="416"/>
      <c r="J114" s="405">
        <v>1687500</v>
      </c>
      <c r="K114" s="406">
        <v>1250000</v>
      </c>
      <c r="L114" s="407">
        <f>K114*E114</f>
        <v>1250000</v>
      </c>
      <c r="M114" s="407"/>
      <c r="N114" s="407"/>
      <c r="O114" s="407"/>
      <c r="P114" s="407"/>
      <c r="Q114" s="407"/>
      <c r="R114" s="407"/>
      <c r="S114" s="407"/>
      <c r="T114" s="407"/>
    </row>
    <row r="115" spans="1:20" s="2" customFormat="1" hidden="1" outlineLevel="1">
      <c r="A115" s="237" t="s">
        <v>419</v>
      </c>
      <c r="B115" s="265" t="s">
        <v>420</v>
      </c>
      <c r="C115" s="246" t="s">
        <v>31</v>
      </c>
      <c r="D115" s="123"/>
      <c r="E115" s="123">
        <v>1</v>
      </c>
      <c r="F115" s="247">
        <f t="shared" si="26"/>
        <v>1123600</v>
      </c>
      <c r="G115" s="372">
        <f t="shared" si="25"/>
        <v>1123600</v>
      </c>
      <c r="H115" s="416"/>
      <c r="I115" s="416"/>
      <c r="J115" s="405">
        <v>1350000</v>
      </c>
      <c r="K115" s="406">
        <v>1000000</v>
      </c>
      <c r="L115" s="407">
        <f>K115*E115</f>
        <v>1000000</v>
      </c>
      <c r="M115" s="407"/>
      <c r="N115" s="407"/>
      <c r="O115" s="407"/>
      <c r="P115" s="407"/>
      <c r="Q115" s="407"/>
      <c r="R115" s="407"/>
      <c r="S115" s="407"/>
      <c r="T115" s="407"/>
    </row>
    <row r="116" spans="1:20" s="2" customFormat="1" hidden="1" outlineLevel="1">
      <c r="A116" s="237" t="s">
        <v>421</v>
      </c>
      <c r="B116" s="265" t="s">
        <v>422</v>
      </c>
      <c r="C116" s="246" t="s">
        <v>316</v>
      </c>
      <c r="D116" s="123"/>
      <c r="E116" s="123">
        <v>3</v>
      </c>
      <c r="F116" s="247">
        <f t="shared" si="26"/>
        <v>3033710</v>
      </c>
      <c r="G116" s="372">
        <f t="shared" si="25"/>
        <v>9101130</v>
      </c>
      <c r="H116" s="416"/>
      <c r="I116" s="416"/>
      <c r="J116" s="405">
        <v>3645000</v>
      </c>
      <c r="K116" s="406">
        <v>2700000</v>
      </c>
      <c r="L116" s="407">
        <f>K116*E116</f>
        <v>8100000</v>
      </c>
      <c r="M116" s="407"/>
      <c r="N116" s="407"/>
      <c r="O116" s="407"/>
      <c r="P116" s="407"/>
      <c r="Q116" s="407"/>
      <c r="R116" s="407"/>
      <c r="S116" s="407"/>
      <c r="T116" s="407"/>
    </row>
    <row r="117" spans="1:20" s="2" customFormat="1" hidden="1" outlineLevel="1">
      <c r="A117" s="237" t="s">
        <v>423</v>
      </c>
      <c r="B117" s="265" t="s">
        <v>424</v>
      </c>
      <c r="C117" s="254" t="s">
        <v>316</v>
      </c>
      <c r="D117" s="123"/>
      <c r="E117" s="123">
        <v>1</v>
      </c>
      <c r="F117" s="247">
        <f t="shared" si="26"/>
        <v>2022470</v>
      </c>
      <c r="G117" s="372">
        <f t="shared" si="25"/>
        <v>2022470</v>
      </c>
      <c r="H117" s="416"/>
      <c r="I117" s="416"/>
      <c r="J117" s="405">
        <v>2430000</v>
      </c>
      <c r="K117" s="406">
        <v>1800000</v>
      </c>
      <c r="L117" s="407">
        <f>K117*E117</f>
        <v>1800000</v>
      </c>
      <c r="M117" s="407"/>
      <c r="N117" s="407"/>
      <c r="O117" s="407"/>
      <c r="P117" s="407"/>
      <c r="Q117" s="407"/>
      <c r="R117" s="407"/>
      <c r="S117" s="407"/>
      <c r="T117" s="407"/>
    </row>
    <row r="118" spans="1:20" s="2" customFormat="1" hidden="1" outlineLevel="1">
      <c r="A118" s="237" t="s">
        <v>425</v>
      </c>
      <c r="B118" s="265" t="s">
        <v>426</v>
      </c>
      <c r="C118" s="254" t="s">
        <v>316</v>
      </c>
      <c r="D118" s="123"/>
      <c r="E118" s="123">
        <v>1</v>
      </c>
      <c r="F118" s="247">
        <f t="shared" si="26"/>
        <v>4730340</v>
      </c>
      <c r="G118" s="372">
        <f t="shared" si="25"/>
        <v>4730340</v>
      </c>
      <c r="H118" s="416"/>
      <c r="I118" s="416"/>
      <c r="J118" s="405">
        <v>5683500</v>
      </c>
      <c r="K118" s="406">
        <v>4210000</v>
      </c>
      <c r="L118" s="407">
        <f>K118*E118</f>
        <v>4210000</v>
      </c>
      <c r="M118" s="407"/>
      <c r="N118" s="407"/>
      <c r="O118" s="407"/>
      <c r="P118" s="407"/>
      <c r="Q118" s="407"/>
      <c r="R118" s="407"/>
      <c r="S118" s="407"/>
      <c r="T118" s="407"/>
    </row>
    <row r="119" spans="1:20" s="2" customFormat="1" hidden="1" outlineLevel="1">
      <c r="A119" s="237" t="s">
        <v>427</v>
      </c>
      <c r="B119" s="265" t="s">
        <v>376</v>
      </c>
      <c r="C119" s="254" t="s">
        <v>316</v>
      </c>
      <c r="D119" s="123"/>
      <c r="E119" s="123">
        <v>1</v>
      </c>
      <c r="F119" s="247">
        <f t="shared" si="26"/>
        <v>789100</v>
      </c>
      <c r="G119" s="372">
        <f t="shared" si="25"/>
        <v>789100</v>
      </c>
      <c r="H119" s="416"/>
      <c r="I119" s="416"/>
      <c r="J119" s="405">
        <v>948110</v>
      </c>
      <c r="K119" s="406">
        <v>702300</v>
      </c>
      <c r="L119" s="407">
        <f>K119*E119</f>
        <v>702300</v>
      </c>
      <c r="M119" s="407"/>
      <c r="N119" s="407"/>
      <c r="O119" s="407"/>
      <c r="P119" s="407"/>
      <c r="Q119" s="407"/>
      <c r="R119" s="407"/>
      <c r="S119" s="407"/>
      <c r="T119" s="407"/>
    </row>
    <row r="120" spans="1:20" s="2" customFormat="1" hidden="1" outlineLevel="1">
      <c r="A120" s="237" t="s">
        <v>428</v>
      </c>
      <c r="B120" s="265" t="s">
        <v>364</v>
      </c>
      <c r="C120" s="254" t="s">
        <v>111</v>
      </c>
      <c r="D120" s="123"/>
      <c r="E120" s="123">
        <v>40</v>
      </c>
      <c r="F120" s="247">
        <f t="shared" si="26"/>
        <v>7840</v>
      </c>
      <c r="G120" s="372">
        <f t="shared" si="25"/>
        <v>313600</v>
      </c>
      <c r="H120" s="416"/>
      <c r="I120" s="416"/>
      <c r="J120" s="405">
        <v>9420</v>
      </c>
      <c r="K120" s="406">
        <v>6975</v>
      </c>
      <c r="L120" s="407">
        <f>K120*E120</f>
        <v>279000</v>
      </c>
      <c r="M120" s="407"/>
      <c r="N120" s="407"/>
      <c r="O120" s="407"/>
      <c r="P120" s="407"/>
      <c r="Q120" s="407"/>
      <c r="R120" s="407"/>
      <c r="S120" s="407"/>
      <c r="T120" s="407"/>
    </row>
    <row r="121" spans="1:20" s="2" customFormat="1" hidden="1" outlineLevel="1">
      <c r="A121" s="237" t="s">
        <v>429</v>
      </c>
      <c r="B121" s="262" t="s">
        <v>366</v>
      </c>
      <c r="C121" s="254" t="s">
        <v>111</v>
      </c>
      <c r="D121" s="123"/>
      <c r="E121" s="123">
        <v>60</v>
      </c>
      <c r="F121" s="247">
        <f t="shared" si="26"/>
        <v>6260</v>
      </c>
      <c r="G121" s="372">
        <f t="shared" si="25"/>
        <v>375600</v>
      </c>
      <c r="H121" s="416"/>
      <c r="I121" s="416"/>
      <c r="J121" s="405">
        <v>7530</v>
      </c>
      <c r="K121" s="406">
        <v>5575</v>
      </c>
      <c r="L121" s="407">
        <f>K121*E121</f>
        <v>334500</v>
      </c>
      <c r="M121" s="407"/>
      <c r="N121" s="407"/>
      <c r="O121" s="407"/>
      <c r="P121" s="407"/>
      <c r="Q121" s="407"/>
      <c r="R121" s="407"/>
      <c r="S121" s="407"/>
      <c r="T121" s="407"/>
    </row>
    <row r="122" spans="1:20" s="2" customFormat="1" hidden="1" outlineLevel="1">
      <c r="A122" s="237" t="s">
        <v>430</v>
      </c>
      <c r="B122" s="268" t="s">
        <v>370</v>
      </c>
      <c r="C122" s="254" t="s">
        <v>31</v>
      </c>
      <c r="D122" s="123"/>
      <c r="E122" s="123">
        <v>9</v>
      </c>
      <c r="F122" s="247">
        <f t="shared" si="26"/>
        <v>15140</v>
      </c>
      <c r="G122" s="372">
        <f t="shared" si="25"/>
        <v>136260</v>
      </c>
      <c r="H122" s="416"/>
      <c r="I122" s="416"/>
      <c r="J122" s="405">
        <v>18190</v>
      </c>
      <c r="K122" s="406">
        <v>13475</v>
      </c>
      <c r="L122" s="407">
        <f>K122*E122</f>
        <v>121275</v>
      </c>
      <c r="M122" s="407"/>
      <c r="N122" s="407"/>
      <c r="O122" s="407"/>
      <c r="P122" s="407"/>
      <c r="Q122" s="407"/>
      <c r="R122" s="407"/>
      <c r="S122" s="407"/>
      <c r="T122" s="407"/>
    </row>
    <row r="123" spans="1:20" s="2" customFormat="1" hidden="1" outlineLevel="1">
      <c r="A123" s="237" t="s">
        <v>431</v>
      </c>
      <c r="B123" s="268" t="s">
        <v>432</v>
      </c>
      <c r="C123" s="254" t="s">
        <v>316</v>
      </c>
      <c r="D123" s="123"/>
      <c r="E123" s="123">
        <v>1</v>
      </c>
      <c r="F123" s="247">
        <f t="shared" si="26"/>
        <v>2184270</v>
      </c>
      <c r="G123" s="372">
        <f t="shared" si="25"/>
        <v>2184270</v>
      </c>
      <c r="H123" s="416"/>
      <c r="I123" s="416"/>
      <c r="J123" s="405">
        <v>2624400</v>
      </c>
      <c r="K123" s="406">
        <v>1944000</v>
      </c>
      <c r="L123" s="407">
        <f>K123*E123</f>
        <v>1944000</v>
      </c>
      <c r="M123" s="407"/>
      <c r="N123" s="407"/>
      <c r="O123" s="407"/>
      <c r="P123" s="407"/>
      <c r="Q123" s="407"/>
      <c r="R123" s="407"/>
      <c r="S123" s="407"/>
      <c r="T123" s="407"/>
    </row>
    <row r="124" spans="1:20" s="2" customFormat="1" hidden="1" outlineLevel="1">
      <c r="A124" s="237" t="s">
        <v>433</v>
      </c>
      <c r="B124" s="268" t="s">
        <v>434</v>
      </c>
      <c r="C124" s="254" t="s">
        <v>31</v>
      </c>
      <c r="D124" s="123"/>
      <c r="E124" s="123">
        <v>70</v>
      </c>
      <c r="F124" s="247">
        <f t="shared" si="26"/>
        <v>2810</v>
      </c>
      <c r="G124" s="372">
        <f t="shared" si="25"/>
        <v>196700</v>
      </c>
      <c r="H124" s="416"/>
      <c r="I124" s="416"/>
      <c r="J124" s="405">
        <v>3380</v>
      </c>
      <c r="K124" s="406">
        <v>2500</v>
      </c>
      <c r="L124" s="407">
        <f>K124*E124</f>
        <v>175000</v>
      </c>
      <c r="M124" s="407"/>
      <c r="N124" s="407"/>
      <c r="O124" s="407"/>
      <c r="P124" s="407"/>
      <c r="Q124" s="407"/>
      <c r="R124" s="407"/>
      <c r="S124" s="407"/>
      <c r="T124" s="407"/>
    </row>
    <row r="125" spans="1:20" s="2" customFormat="1" hidden="1" outlineLevel="1">
      <c r="A125" s="237" t="s">
        <v>435</v>
      </c>
      <c r="B125" s="268" t="s">
        <v>436</v>
      </c>
      <c r="C125" s="254" t="s">
        <v>31</v>
      </c>
      <c r="D125" s="123"/>
      <c r="E125" s="123">
        <v>30</v>
      </c>
      <c r="F125" s="247">
        <f t="shared" si="26"/>
        <v>2250</v>
      </c>
      <c r="G125" s="372">
        <f t="shared" si="25"/>
        <v>67500</v>
      </c>
      <c r="H125" s="416"/>
      <c r="I125" s="416"/>
      <c r="J125" s="405">
        <v>2700</v>
      </c>
      <c r="K125" s="406">
        <v>2000</v>
      </c>
      <c r="L125" s="407">
        <f>K125*E125</f>
        <v>60000</v>
      </c>
      <c r="M125" s="407"/>
      <c r="N125" s="407"/>
      <c r="O125" s="407"/>
      <c r="P125" s="407"/>
      <c r="Q125" s="407"/>
      <c r="R125" s="407"/>
      <c r="S125" s="407"/>
      <c r="T125" s="407"/>
    </row>
    <row r="126" spans="1:20" s="2" customFormat="1" hidden="1" outlineLevel="1">
      <c r="A126" s="237" t="s">
        <v>437</v>
      </c>
      <c r="B126" s="268" t="s">
        <v>438</v>
      </c>
      <c r="C126" s="254" t="s">
        <v>31</v>
      </c>
      <c r="D126" s="123"/>
      <c r="E126" s="123">
        <v>50</v>
      </c>
      <c r="F126" s="247">
        <f t="shared" si="26"/>
        <v>6740</v>
      </c>
      <c r="G126" s="372">
        <f t="shared" si="25"/>
        <v>337000</v>
      </c>
      <c r="H126" s="416"/>
      <c r="I126" s="416"/>
      <c r="J126" s="405">
        <v>8100</v>
      </c>
      <c r="K126" s="406">
        <v>6000</v>
      </c>
      <c r="L126" s="407">
        <f>K126*E126</f>
        <v>300000</v>
      </c>
      <c r="M126" s="407"/>
      <c r="N126" s="407"/>
      <c r="O126" s="407"/>
      <c r="P126" s="407"/>
      <c r="Q126" s="407"/>
      <c r="R126" s="407"/>
      <c r="S126" s="407"/>
      <c r="T126" s="407"/>
    </row>
    <row r="127" spans="1:20" s="2" customFormat="1" hidden="1" outlineLevel="1">
      <c r="A127" s="237" t="s">
        <v>439</v>
      </c>
      <c r="B127" s="268" t="s">
        <v>440</v>
      </c>
      <c r="C127" s="254" t="s">
        <v>31</v>
      </c>
      <c r="D127" s="123"/>
      <c r="E127" s="123">
        <v>20</v>
      </c>
      <c r="F127" s="247">
        <f t="shared" si="26"/>
        <v>7870</v>
      </c>
      <c r="G127" s="372">
        <f t="shared" si="25"/>
        <v>157400</v>
      </c>
      <c r="H127" s="416"/>
      <c r="I127" s="416"/>
      <c r="J127" s="405">
        <v>9450</v>
      </c>
      <c r="K127" s="406">
        <v>7000</v>
      </c>
      <c r="L127" s="407">
        <f>K127*E127</f>
        <v>140000</v>
      </c>
      <c r="M127" s="407"/>
      <c r="N127" s="407"/>
      <c r="O127" s="407"/>
      <c r="P127" s="407"/>
      <c r="Q127" s="407"/>
      <c r="R127" s="407"/>
      <c r="S127" s="407"/>
      <c r="T127" s="407"/>
    </row>
    <row r="128" spans="1:20" s="2" customFormat="1" hidden="1" outlineLevel="1">
      <c r="A128" s="237" t="s">
        <v>441</v>
      </c>
      <c r="B128" s="265" t="s">
        <v>442</v>
      </c>
      <c r="C128" s="254" t="s">
        <v>316</v>
      </c>
      <c r="D128" s="123"/>
      <c r="E128" s="123">
        <v>1</v>
      </c>
      <c r="F128" s="247">
        <f t="shared" si="26"/>
        <v>37080</v>
      </c>
      <c r="G128" s="372">
        <f t="shared" si="25"/>
        <v>37080</v>
      </c>
      <c r="H128" s="416"/>
      <c r="I128" s="416"/>
      <c r="J128" s="405">
        <v>44550</v>
      </c>
      <c r="K128" s="406">
        <v>33000</v>
      </c>
      <c r="L128" s="407">
        <f>K128*E128</f>
        <v>33000</v>
      </c>
      <c r="M128" s="407"/>
      <c r="N128" s="407"/>
      <c r="O128" s="407"/>
      <c r="P128" s="407"/>
      <c r="Q128" s="407"/>
      <c r="R128" s="407"/>
      <c r="S128" s="407"/>
      <c r="T128" s="407"/>
    </row>
    <row r="129" spans="1:20" s="2" customFormat="1" hidden="1" outlineLevel="1">
      <c r="A129" s="237" t="s">
        <v>443</v>
      </c>
      <c r="B129" s="268" t="s">
        <v>444</v>
      </c>
      <c r="C129" s="254" t="s">
        <v>316</v>
      </c>
      <c r="D129" s="123"/>
      <c r="E129" s="123">
        <v>1</v>
      </c>
      <c r="F129" s="247">
        <f t="shared" si="26"/>
        <v>191010</v>
      </c>
      <c r="G129" s="372">
        <f t="shared" si="25"/>
        <v>191010</v>
      </c>
      <c r="H129" s="416"/>
      <c r="I129" s="416"/>
      <c r="J129" s="405">
        <v>229500</v>
      </c>
      <c r="K129" s="406">
        <v>170000</v>
      </c>
      <c r="L129" s="407">
        <f>K129*E129</f>
        <v>170000</v>
      </c>
      <c r="M129" s="407" t="s">
        <v>569</v>
      </c>
      <c r="N129" s="407"/>
      <c r="O129" s="407"/>
      <c r="P129" s="407"/>
      <c r="Q129" s="407"/>
      <c r="R129" s="407"/>
      <c r="S129" s="407"/>
      <c r="T129" s="407"/>
    </row>
    <row r="130" spans="1:20" s="2" customFormat="1" hidden="1" outlineLevel="1">
      <c r="A130" s="237"/>
      <c r="B130" s="293" t="s">
        <v>568</v>
      </c>
      <c r="C130" s="246"/>
      <c r="D130" s="123"/>
      <c r="E130" s="123"/>
      <c r="F130" s="247">
        <f t="shared" si="26"/>
        <v>0</v>
      </c>
      <c r="G130" s="372"/>
      <c r="H130" s="416"/>
      <c r="I130" s="416"/>
      <c r="J130" s="405"/>
      <c r="K130" s="406"/>
      <c r="L130" s="407">
        <f>K130*E130</f>
        <v>0</v>
      </c>
      <c r="M130" s="407"/>
      <c r="N130" s="407"/>
      <c r="O130" s="407"/>
      <c r="P130" s="407"/>
      <c r="Q130" s="407"/>
      <c r="R130" s="407"/>
      <c r="S130" s="407"/>
      <c r="T130" s="407"/>
    </row>
    <row r="131" spans="1:20" s="2" customFormat="1" hidden="1" outlineLevel="1">
      <c r="A131" s="237" t="s">
        <v>445</v>
      </c>
      <c r="B131" s="265" t="s">
        <v>446</v>
      </c>
      <c r="C131" s="254" t="s">
        <v>316</v>
      </c>
      <c r="D131" s="123"/>
      <c r="E131" s="123">
        <v>1</v>
      </c>
      <c r="F131" s="247">
        <f t="shared" si="26"/>
        <v>3134830</v>
      </c>
      <c r="G131" s="372">
        <f t="shared" si="25"/>
        <v>3134830</v>
      </c>
      <c r="H131" s="416"/>
      <c r="I131" s="416"/>
      <c r="J131" s="405">
        <v>3766500</v>
      </c>
      <c r="K131" s="406">
        <v>2790000</v>
      </c>
      <c r="L131" s="407">
        <f>K131*E131</f>
        <v>2790000</v>
      </c>
      <c r="M131" s="407"/>
      <c r="N131" s="407"/>
      <c r="O131" s="407"/>
      <c r="P131" s="407"/>
      <c r="Q131" s="407"/>
      <c r="R131" s="407"/>
      <c r="S131" s="407"/>
      <c r="T131" s="407"/>
    </row>
    <row r="132" spans="1:20" s="2" customFormat="1" hidden="1" outlineLevel="1">
      <c r="A132" s="237" t="s">
        <v>447</v>
      </c>
      <c r="B132" s="265" t="s">
        <v>448</v>
      </c>
      <c r="C132" s="254" t="s">
        <v>316</v>
      </c>
      <c r="D132" s="123"/>
      <c r="E132" s="123">
        <v>1</v>
      </c>
      <c r="F132" s="247">
        <f t="shared" si="26"/>
        <v>370790</v>
      </c>
      <c r="G132" s="372">
        <f t="shared" si="25"/>
        <v>370790</v>
      </c>
      <c r="H132" s="416"/>
      <c r="I132" s="416"/>
      <c r="J132" s="405">
        <v>445500</v>
      </c>
      <c r="K132" s="406">
        <v>330000</v>
      </c>
      <c r="L132" s="407">
        <f>K132*E132</f>
        <v>330000</v>
      </c>
      <c r="M132" s="407"/>
      <c r="N132" s="407"/>
      <c r="O132" s="407"/>
      <c r="P132" s="407"/>
      <c r="Q132" s="407"/>
      <c r="R132" s="407"/>
      <c r="S132" s="407"/>
      <c r="T132" s="407"/>
    </row>
    <row r="133" spans="1:20" s="2" customFormat="1" ht="26.4" hidden="1" outlineLevel="1">
      <c r="A133" s="237" t="s">
        <v>449</v>
      </c>
      <c r="B133" s="265" t="s">
        <v>450</v>
      </c>
      <c r="C133" s="254" t="s">
        <v>316</v>
      </c>
      <c r="D133" s="123"/>
      <c r="E133" s="123">
        <v>1</v>
      </c>
      <c r="F133" s="247">
        <f t="shared" si="26"/>
        <v>1460670</v>
      </c>
      <c r="G133" s="372">
        <f t="shared" si="25"/>
        <v>1460670</v>
      </c>
      <c r="H133" s="416"/>
      <c r="I133" s="416"/>
      <c r="J133" s="405">
        <v>1755000</v>
      </c>
      <c r="K133" s="406">
        <v>1300000</v>
      </c>
      <c r="L133" s="407">
        <f>K133*E133</f>
        <v>1300000</v>
      </c>
      <c r="M133" s="407"/>
      <c r="N133" s="407"/>
      <c r="O133" s="407"/>
      <c r="P133" s="407"/>
      <c r="Q133" s="407"/>
      <c r="R133" s="407"/>
      <c r="S133" s="407"/>
      <c r="T133" s="407"/>
    </row>
    <row r="134" spans="1:20" s="2" customFormat="1" hidden="1" outlineLevel="1">
      <c r="A134" s="237" t="s">
        <v>451</v>
      </c>
      <c r="B134" s="265" t="s">
        <v>452</v>
      </c>
      <c r="C134" s="254" t="s">
        <v>316</v>
      </c>
      <c r="D134" s="123"/>
      <c r="E134" s="123">
        <v>1</v>
      </c>
      <c r="F134" s="247">
        <f t="shared" si="26"/>
        <v>1685390</v>
      </c>
      <c r="G134" s="372">
        <f t="shared" si="25"/>
        <v>1685390</v>
      </c>
      <c r="H134" s="416"/>
      <c r="I134" s="416"/>
      <c r="J134" s="405">
        <v>2025000</v>
      </c>
      <c r="K134" s="406">
        <v>1500000</v>
      </c>
      <c r="L134" s="407">
        <f>K134*E134</f>
        <v>1500000</v>
      </c>
      <c r="M134" s="407"/>
      <c r="N134" s="407"/>
      <c r="O134" s="407"/>
      <c r="P134" s="407"/>
      <c r="Q134" s="407"/>
      <c r="R134" s="407"/>
      <c r="S134" s="407"/>
      <c r="T134" s="407"/>
    </row>
    <row r="135" spans="1:20" s="2" customFormat="1" hidden="1" outlineLevel="1">
      <c r="A135" s="237" t="s">
        <v>453</v>
      </c>
      <c r="B135" s="265" t="s">
        <v>396</v>
      </c>
      <c r="C135" s="254" t="s">
        <v>316</v>
      </c>
      <c r="D135" s="123"/>
      <c r="E135" s="123">
        <v>1</v>
      </c>
      <c r="F135" s="247">
        <f t="shared" si="26"/>
        <v>337080</v>
      </c>
      <c r="G135" s="372">
        <f t="shared" si="25"/>
        <v>337080</v>
      </c>
      <c r="H135" s="416"/>
      <c r="I135" s="416"/>
      <c r="J135" s="405">
        <v>405000</v>
      </c>
      <c r="K135" s="406">
        <v>300000</v>
      </c>
      <c r="L135" s="407">
        <f>K135*E135</f>
        <v>300000</v>
      </c>
      <c r="M135" s="407"/>
      <c r="N135" s="407"/>
      <c r="O135" s="407"/>
      <c r="P135" s="407"/>
      <c r="Q135" s="407"/>
      <c r="R135" s="407"/>
      <c r="S135" s="407"/>
      <c r="T135" s="407"/>
    </row>
    <row r="136" spans="1:20" s="2" customFormat="1" hidden="1" outlineLevel="1">
      <c r="A136" s="237" t="s">
        <v>454</v>
      </c>
      <c r="B136" s="265" t="s">
        <v>455</v>
      </c>
      <c r="C136" s="254" t="s">
        <v>316</v>
      </c>
      <c r="D136" s="123"/>
      <c r="E136" s="123">
        <v>1</v>
      </c>
      <c r="F136" s="247">
        <f t="shared" si="26"/>
        <v>421350</v>
      </c>
      <c r="G136" s="372">
        <f t="shared" si="25"/>
        <v>421350</v>
      </c>
      <c r="H136" s="416"/>
      <c r="I136" s="416"/>
      <c r="J136" s="405">
        <v>506250</v>
      </c>
      <c r="K136" s="406">
        <v>375000</v>
      </c>
      <c r="L136" s="407">
        <f>K136*E136</f>
        <v>375000</v>
      </c>
      <c r="M136" s="407"/>
      <c r="N136" s="407"/>
      <c r="O136" s="407"/>
      <c r="P136" s="407"/>
      <c r="Q136" s="407"/>
      <c r="R136" s="407"/>
      <c r="S136" s="407"/>
      <c r="T136" s="407"/>
    </row>
    <row r="137" spans="1:20" s="2" customFormat="1" hidden="1" outlineLevel="1">
      <c r="A137" s="237" t="s">
        <v>456</v>
      </c>
      <c r="B137" s="419" t="s">
        <v>457</v>
      </c>
      <c r="C137" s="254" t="s">
        <v>316</v>
      </c>
      <c r="D137" s="123"/>
      <c r="E137" s="123">
        <v>1</v>
      </c>
      <c r="F137" s="247">
        <f t="shared" si="26"/>
        <v>898880</v>
      </c>
      <c r="G137" s="372">
        <f t="shared" si="25"/>
        <v>898880</v>
      </c>
      <c r="H137" s="416"/>
      <c r="I137" s="416"/>
      <c r="J137" s="405">
        <v>1080000</v>
      </c>
      <c r="K137" s="406">
        <v>800000</v>
      </c>
      <c r="L137" s="407">
        <f>K137*E137</f>
        <v>800000</v>
      </c>
      <c r="M137" s="407"/>
      <c r="N137" s="407"/>
      <c r="O137" s="407"/>
      <c r="P137" s="407"/>
      <c r="Q137" s="407"/>
      <c r="R137" s="407"/>
      <c r="S137" s="407"/>
      <c r="T137" s="407"/>
    </row>
    <row r="138" spans="1:20" s="2" customFormat="1" hidden="1" outlineLevel="1">
      <c r="A138" s="237" t="s">
        <v>458</v>
      </c>
      <c r="B138" s="419" t="s">
        <v>459</v>
      </c>
      <c r="C138" s="254" t="s">
        <v>316</v>
      </c>
      <c r="D138" s="123"/>
      <c r="E138" s="123">
        <v>1</v>
      </c>
      <c r="F138" s="247">
        <f t="shared" si="26"/>
        <v>337080</v>
      </c>
      <c r="G138" s="372">
        <f t="shared" si="25"/>
        <v>337080</v>
      </c>
      <c r="H138" s="416"/>
      <c r="I138" s="416"/>
      <c r="J138" s="405">
        <v>405000</v>
      </c>
      <c r="K138" s="406">
        <v>300000</v>
      </c>
      <c r="L138" s="407">
        <f>K138*E138</f>
        <v>300000</v>
      </c>
      <c r="M138" s="407"/>
      <c r="N138" s="407"/>
      <c r="O138" s="407"/>
      <c r="P138" s="407"/>
      <c r="Q138" s="407"/>
      <c r="R138" s="407"/>
      <c r="S138" s="407"/>
      <c r="T138" s="407"/>
    </row>
    <row r="139" spans="1:20" s="2" customFormat="1" hidden="1" outlineLevel="1">
      <c r="A139" s="237" t="s">
        <v>460</v>
      </c>
      <c r="B139" s="420" t="s">
        <v>461</v>
      </c>
      <c r="C139" s="254" t="s">
        <v>316</v>
      </c>
      <c r="D139" s="123"/>
      <c r="E139" s="123">
        <v>1</v>
      </c>
      <c r="F139" s="247">
        <f t="shared" si="26"/>
        <v>252810</v>
      </c>
      <c r="G139" s="372">
        <f t="shared" si="25"/>
        <v>252810</v>
      </c>
      <c r="H139" s="416"/>
      <c r="I139" s="416"/>
      <c r="J139" s="405">
        <v>303750</v>
      </c>
      <c r="K139" s="406">
        <v>225000</v>
      </c>
      <c r="L139" s="407">
        <f>K139*E139</f>
        <v>225000</v>
      </c>
      <c r="M139" s="407"/>
      <c r="N139" s="407"/>
      <c r="O139" s="407"/>
      <c r="P139" s="407"/>
      <c r="Q139" s="407"/>
      <c r="R139" s="407"/>
      <c r="S139" s="407"/>
      <c r="T139" s="407"/>
    </row>
    <row r="140" spans="1:20" s="2" customFormat="1" hidden="1" outlineLevel="1">
      <c r="A140" s="237" t="s">
        <v>462</v>
      </c>
      <c r="B140" s="420" t="s">
        <v>463</v>
      </c>
      <c r="C140" s="254" t="s">
        <v>316</v>
      </c>
      <c r="D140" s="123"/>
      <c r="E140" s="123">
        <v>1</v>
      </c>
      <c r="F140" s="247">
        <f t="shared" si="26"/>
        <v>168540</v>
      </c>
      <c r="G140" s="372">
        <f t="shared" si="25"/>
        <v>168540</v>
      </c>
      <c r="H140" s="416"/>
      <c r="I140" s="416"/>
      <c r="J140" s="405">
        <v>202500</v>
      </c>
      <c r="K140" s="406">
        <v>150000</v>
      </c>
      <c r="L140" s="407">
        <f>K140*E140</f>
        <v>150000</v>
      </c>
      <c r="M140" s="407"/>
      <c r="N140" s="407"/>
      <c r="O140" s="407"/>
      <c r="P140" s="407"/>
      <c r="Q140" s="407"/>
      <c r="R140" s="407"/>
      <c r="S140" s="407"/>
      <c r="T140" s="407"/>
    </row>
    <row r="141" spans="1:20" s="2" customFormat="1" hidden="1" outlineLevel="1">
      <c r="A141" s="237" t="s">
        <v>464</v>
      </c>
      <c r="B141" s="420" t="s">
        <v>465</v>
      </c>
      <c r="C141" s="254" t="s">
        <v>31</v>
      </c>
      <c r="D141" s="123"/>
      <c r="E141" s="123">
        <v>9</v>
      </c>
      <c r="F141" s="247">
        <f t="shared" si="26"/>
        <v>50560</v>
      </c>
      <c r="G141" s="372">
        <f t="shared" si="25"/>
        <v>455040</v>
      </c>
      <c r="H141" s="416"/>
      <c r="I141" s="416"/>
      <c r="J141" s="405">
        <v>60750</v>
      </c>
      <c r="K141" s="406">
        <v>45000</v>
      </c>
      <c r="L141" s="407">
        <f>K141*E141</f>
        <v>405000</v>
      </c>
      <c r="M141" s="407"/>
      <c r="N141" s="407"/>
      <c r="O141" s="407"/>
      <c r="P141" s="407"/>
      <c r="Q141" s="407"/>
      <c r="R141" s="407"/>
      <c r="S141" s="407"/>
      <c r="T141" s="407"/>
    </row>
    <row r="142" spans="1:20" s="2" customFormat="1" hidden="1" outlineLevel="1">
      <c r="A142" s="237" t="s">
        <v>466</v>
      </c>
      <c r="B142" s="420" t="s">
        <v>467</v>
      </c>
      <c r="C142" s="254" t="s">
        <v>316</v>
      </c>
      <c r="D142" s="123"/>
      <c r="E142" s="123">
        <v>1</v>
      </c>
      <c r="F142" s="247">
        <f t="shared" si="26"/>
        <v>280900</v>
      </c>
      <c r="G142" s="372">
        <f t="shared" si="25"/>
        <v>280900</v>
      </c>
      <c r="H142" s="416"/>
      <c r="I142" s="416"/>
      <c r="J142" s="405">
        <v>337500</v>
      </c>
      <c r="K142" s="406">
        <v>250000</v>
      </c>
      <c r="L142" s="407">
        <f>K142*E142</f>
        <v>250000</v>
      </c>
      <c r="M142" s="407"/>
      <c r="N142" s="407"/>
      <c r="O142" s="407"/>
      <c r="P142" s="407"/>
      <c r="Q142" s="407"/>
      <c r="R142" s="407"/>
      <c r="S142" s="407"/>
      <c r="T142" s="407"/>
    </row>
    <row r="143" spans="1:20" s="2" customFormat="1" hidden="1" outlineLevel="1">
      <c r="A143" s="237" t="s">
        <v>468</v>
      </c>
      <c r="B143" s="420" t="s">
        <v>469</v>
      </c>
      <c r="C143" s="254" t="s">
        <v>316</v>
      </c>
      <c r="D143" s="123"/>
      <c r="E143" s="123">
        <v>1</v>
      </c>
      <c r="F143" s="247">
        <f t="shared" si="26"/>
        <v>955060</v>
      </c>
      <c r="G143" s="372">
        <f t="shared" si="25"/>
        <v>955060</v>
      </c>
      <c r="H143" s="416"/>
      <c r="I143" s="416"/>
      <c r="J143" s="405">
        <v>1147500</v>
      </c>
      <c r="K143" s="406">
        <v>850000</v>
      </c>
      <c r="L143" s="407">
        <f>K143*E143</f>
        <v>850000</v>
      </c>
      <c r="M143" s="407"/>
      <c r="N143" s="407" t="s">
        <v>570</v>
      </c>
      <c r="O143" s="407"/>
      <c r="P143" s="407"/>
      <c r="Q143" s="407"/>
      <c r="R143" s="407"/>
      <c r="S143" s="407"/>
      <c r="T143" s="407"/>
    </row>
    <row r="144" spans="1:20" s="2" customFormat="1" hidden="1" outlineLevel="1">
      <c r="A144" s="237" t="s">
        <v>470</v>
      </c>
      <c r="B144" s="420" t="s">
        <v>471</v>
      </c>
      <c r="C144" s="254" t="s">
        <v>316</v>
      </c>
      <c r="D144" s="123"/>
      <c r="E144" s="123">
        <v>1</v>
      </c>
      <c r="F144" s="247">
        <f t="shared" si="26"/>
        <v>1011240</v>
      </c>
      <c r="G144" s="372">
        <f t="shared" ref="G144:G166" si="28">E144*F144</f>
        <v>1011240</v>
      </c>
      <c r="H144" s="416"/>
      <c r="I144" s="416"/>
      <c r="J144" s="405">
        <v>1215000</v>
      </c>
      <c r="K144" s="406">
        <v>900000</v>
      </c>
      <c r="L144" s="407">
        <f>K144*E144</f>
        <v>900000</v>
      </c>
      <c r="M144" s="460">
        <f>SUM(L109:L144)</f>
        <v>36444075</v>
      </c>
      <c r="N144" s="407">
        <f>30894075</f>
        <v>30894075</v>
      </c>
      <c r="O144" s="407"/>
      <c r="P144" s="407"/>
      <c r="Q144" s="407"/>
      <c r="R144" s="407"/>
      <c r="S144" s="407"/>
      <c r="T144" s="407"/>
    </row>
    <row r="145" spans="1:20" s="2" customFormat="1" hidden="1" outlineLevel="1">
      <c r="A145" s="263">
        <v>303</v>
      </c>
      <c r="B145" s="264" t="s">
        <v>472</v>
      </c>
      <c r="C145" s="253"/>
      <c r="D145" s="123"/>
      <c r="E145" s="123"/>
      <c r="F145" s="247">
        <f t="shared" si="26"/>
        <v>0</v>
      </c>
      <c r="G145" s="374"/>
      <c r="H145" s="416"/>
      <c r="I145" s="416"/>
      <c r="J145" s="405"/>
      <c r="K145" s="406"/>
      <c r="L145" s="407">
        <f>K145*E145</f>
        <v>0</v>
      </c>
      <c r="M145" s="407"/>
      <c r="N145" s="407"/>
      <c r="O145" s="407"/>
      <c r="P145" s="407"/>
      <c r="Q145" s="407"/>
      <c r="R145" s="407"/>
      <c r="S145" s="407"/>
      <c r="T145" s="407"/>
    </row>
    <row r="146" spans="1:20" s="2" customFormat="1" ht="13.8" hidden="1" outlineLevel="1">
      <c r="A146" s="271" t="s">
        <v>565</v>
      </c>
      <c r="B146" s="268" t="s">
        <v>567</v>
      </c>
      <c r="C146" s="248" t="s">
        <v>321</v>
      </c>
      <c r="D146" s="123"/>
      <c r="E146" s="123">
        <v>1</v>
      </c>
      <c r="F146" s="247">
        <f t="shared" si="26"/>
        <v>786520</v>
      </c>
      <c r="G146" s="372">
        <f t="shared" ref="G146" si="29">F146*E146</f>
        <v>786520</v>
      </c>
      <c r="H146" s="416"/>
      <c r="I146" s="416"/>
      <c r="J146" s="406">
        <f>G146</f>
        <v>786520</v>
      </c>
      <c r="K146" s="407">
        <f>300000+200000+200000</f>
        <v>700000</v>
      </c>
      <c r="L146" s="407">
        <f>K146*E146</f>
        <v>700000</v>
      </c>
      <c r="M146" s="407"/>
      <c r="N146" s="407"/>
      <c r="O146" s="407"/>
      <c r="P146" s="407"/>
      <c r="Q146" s="407"/>
      <c r="R146" s="407"/>
      <c r="S146" s="407"/>
      <c r="T146" s="407"/>
    </row>
    <row r="147" spans="1:20" s="2" customFormat="1" hidden="1" outlineLevel="1">
      <c r="A147" s="269" t="s">
        <v>473</v>
      </c>
      <c r="B147" s="420" t="s">
        <v>474</v>
      </c>
      <c r="C147" s="254" t="s">
        <v>316</v>
      </c>
      <c r="D147" s="123"/>
      <c r="E147" s="123">
        <v>1</v>
      </c>
      <c r="F147" s="247">
        <f t="shared" si="26"/>
        <v>2047300</v>
      </c>
      <c r="G147" s="372">
        <f t="shared" si="28"/>
        <v>2047300</v>
      </c>
      <c r="H147" s="416"/>
      <c r="I147" s="416"/>
      <c r="J147" s="405">
        <v>2459840</v>
      </c>
      <c r="K147" s="406">
        <v>1822100</v>
      </c>
      <c r="L147" s="407">
        <f>K147*E147</f>
        <v>1822100</v>
      </c>
      <c r="M147" s="407"/>
      <c r="N147" s="407"/>
      <c r="O147" s="407"/>
      <c r="P147" s="407"/>
      <c r="Q147" s="407"/>
      <c r="R147" s="407"/>
      <c r="S147" s="407"/>
      <c r="T147" s="407"/>
    </row>
    <row r="148" spans="1:20" s="2" customFormat="1" hidden="1" outlineLevel="1">
      <c r="A148" s="269" t="s">
        <v>475</v>
      </c>
      <c r="B148" s="420" t="s">
        <v>476</v>
      </c>
      <c r="C148" s="254" t="s">
        <v>111</v>
      </c>
      <c r="D148" s="123"/>
      <c r="E148" s="123">
        <v>230</v>
      </c>
      <c r="F148" s="247">
        <f t="shared" si="26"/>
        <v>7870</v>
      </c>
      <c r="G148" s="372">
        <f t="shared" si="28"/>
        <v>1810100</v>
      </c>
      <c r="H148" s="416"/>
      <c r="I148" s="416"/>
      <c r="J148" s="405">
        <v>9450</v>
      </c>
      <c r="K148" s="406">
        <v>7000</v>
      </c>
      <c r="L148" s="407">
        <f>K148*E148</f>
        <v>1610000</v>
      </c>
      <c r="M148" s="407"/>
      <c r="N148" s="407"/>
      <c r="O148" s="407"/>
      <c r="P148" s="407"/>
      <c r="Q148" s="407"/>
      <c r="R148" s="407"/>
      <c r="S148" s="407"/>
      <c r="T148" s="407"/>
    </row>
    <row r="149" spans="1:20" s="2" customFormat="1" hidden="1" outlineLevel="1">
      <c r="A149" s="269" t="s">
        <v>477</v>
      </c>
      <c r="B149" s="420" t="s">
        <v>478</v>
      </c>
      <c r="C149" s="254" t="s">
        <v>111</v>
      </c>
      <c r="D149" s="123"/>
      <c r="E149" s="123">
        <v>75</v>
      </c>
      <c r="F149" s="247">
        <f t="shared" si="26"/>
        <v>19030</v>
      </c>
      <c r="G149" s="372">
        <f t="shared" si="28"/>
        <v>1427250</v>
      </c>
      <c r="H149" s="416"/>
      <c r="I149" s="416"/>
      <c r="J149" s="405">
        <v>22870</v>
      </c>
      <c r="K149" s="406">
        <v>16940</v>
      </c>
      <c r="L149" s="407">
        <f>K149*E149</f>
        <v>1270500</v>
      </c>
      <c r="M149" s="407"/>
      <c r="N149" s="407"/>
      <c r="O149" s="407"/>
      <c r="P149" s="407"/>
      <c r="Q149" s="407"/>
      <c r="R149" s="407"/>
      <c r="S149" s="407"/>
      <c r="T149" s="407"/>
    </row>
    <row r="150" spans="1:20" s="2" customFormat="1" hidden="1" outlineLevel="1">
      <c r="A150" s="269" t="s">
        <v>479</v>
      </c>
      <c r="B150" s="420" t="s">
        <v>480</v>
      </c>
      <c r="C150" s="254" t="s">
        <v>342</v>
      </c>
      <c r="D150" s="123"/>
      <c r="E150" s="123">
        <v>4</v>
      </c>
      <c r="F150" s="247">
        <f t="shared" si="26"/>
        <v>11240</v>
      </c>
      <c r="G150" s="372">
        <f t="shared" si="28"/>
        <v>44960</v>
      </c>
      <c r="H150" s="416"/>
      <c r="I150" s="416"/>
      <c r="J150" s="405">
        <v>13500</v>
      </c>
      <c r="K150" s="406">
        <v>10000</v>
      </c>
      <c r="L150" s="407">
        <f>K150*E150</f>
        <v>40000</v>
      </c>
      <c r="M150" s="407"/>
      <c r="N150" s="407"/>
      <c r="O150" s="407"/>
      <c r="P150" s="407"/>
      <c r="Q150" s="407"/>
      <c r="R150" s="407"/>
      <c r="S150" s="407"/>
      <c r="T150" s="407"/>
    </row>
    <row r="151" spans="1:20" s="2" customFormat="1" hidden="1" outlineLevel="1">
      <c r="A151" s="269" t="s">
        <v>481</v>
      </c>
      <c r="B151" s="420" t="s">
        <v>356</v>
      </c>
      <c r="C151" s="254" t="s">
        <v>111</v>
      </c>
      <c r="D151" s="123"/>
      <c r="E151" s="123">
        <v>500</v>
      </c>
      <c r="F151" s="247">
        <f t="shared" si="26"/>
        <v>1120</v>
      </c>
      <c r="G151" s="372">
        <f t="shared" si="28"/>
        <v>560000</v>
      </c>
      <c r="H151" s="416"/>
      <c r="I151" s="416"/>
      <c r="J151" s="405">
        <v>1350</v>
      </c>
      <c r="K151" s="406">
        <v>1000</v>
      </c>
      <c r="L151" s="407">
        <f>K151*E151</f>
        <v>500000</v>
      </c>
      <c r="M151" s="407"/>
      <c r="N151" s="407"/>
      <c r="O151" s="407"/>
      <c r="P151" s="407"/>
      <c r="Q151" s="407"/>
      <c r="R151" s="407"/>
      <c r="S151" s="407"/>
      <c r="T151" s="407"/>
    </row>
    <row r="152" spans="1:20" s="2" customFormat="1" hidden="1" outlineLevel="1">
      <c r="A152" s="269" t="s">
        <v>482</v>
      </c>
      <c r="B152" s="420" t="s">
        <v>483</v>
      </c>
      <c r="C152" s="254" t="s">
        <v>316</v>
      </c>
      <c r="D152" s="123"/>
      <c r="E152" s="123">
        <v>1</v>
      </c>
      <c r="F152" s="247">
        <f t="shared" si="26"/>
        <v>292130</v>
      </c>
      <c r="G152" s="372">
        <f t="shared" si="28"/>
        <v>292130</v>
      </c>
      <c r="H152" s="416"/>
      <c r="I152" s="416"/>
      <c r="J152" s="405">
        <v>351000</v>
      </c>
      <c r="K152" s="406">
        <v>260000</v>
      </c>
      <c r="L152" s="407">
        <f>K152*E152</f>
        <v>260000</v>
      </c>
      <c r="M152" s="407"/>
      <c r="N152" s="407"/>
      <c r="O152" s="407"/>
      <c r="P152" s="407"/>
      <c r="Q152" s="407"/>
      <c r="R152" s="407"/>
      <c r="S152" s="407"/>
      <c r="T152" s="407"/>
    </row>
    <row r="153" spans="1:20" s="2" customFormat="1" hidden="1" outlineLevel="1">
      <c r="A153" s="269" t="s">
        <v>484</v>
      </c>
      <c r="B153" s="420" t="s">
        <v>485</v>
      </c>
      <c r="C153" s="254" t="s">
        <v>316</v>
      </c>
      <c r="D153" s="123"/>
      <c r="E153" s="123">
        <v>1</v>
      </c>
      <c r="F153" s="247">
        <f t="shared" si="26"/>
        <v>313480</v>
      </c>
      <c r="G153" s="372">
        <f t="shared" si="28"/>
        <v>313480</v>
      </c>
      <c r="H153" s="416"/>
      <c r="I153" s="416"/>
      <c r="J153" s="405">
        <v>376650</v>
      </c>
      <c r="K153" s="406">
        <v>279000</v>
      </c>
      <c r="L153" s="407">
        <f>K153*E153</f>
        <v>279000</v>
      </c>
      <c r="M153" s="407"/>
      <c r="N153" s="407"/>
      <c r="O153" s="407"/>
      <c r="P153" s="407"/>
      <c r="Q153" s="407"/>
      <c r="R153" s="407"/>
      <c r="S153" s="407"/>
      <c r="T153" s="407"/>
    </row>
    <row r="154" spans="1:20" s="2" customFormat="1" hidden="1" outlineLevel="1">
      <c r="A154" s="269" t="s">
        <v>486</v>
      </c>
      <c r="B154" s="420" t="s">
        <v>487</v>
      </c>
      <c r="C154" s="254" t="s">
        <v>316</v>
      </c>
      <c r="D154" s="123"/>
      <c r="E154" s="123">
        <v>1</v>
      </c>
      <c r="F154" s="247">
        <f t="shared" si="26"/>
        <v>112360</v>
      </c>
      <c r="G154" s="372">
        <f t="shared" si="28"/>
        <v>112360</v>
      </c>
      <c r="H154" s="416"/>
      <c r="I154" s="416"/>
      <c r="J154" s="405">
        <v>135000</v>
      </c>
      <c r="K154" s="406">
        <v>100000</v>
      </c>
      <c r="L154" s="407">
        <f>K154*E154</f>
        <v>100000</v>
      </c>
      <c r="M154" s="407"/>
      <c r="N154" s="407"/>
      <c r="O154" s="407"/>
      <c r="P154" s="407"/>
      <c r="Q154" s="407"/>
      <c r="R154" s="407"/>
      <c r="S154" s="407"/>
      <c r="T154" s="407"/>
    </row>
    <row r="155" spans="1:20" s="2" customFormat="1" hidden="1" outlineLevel="1">
      <c r="A155" s="269" t="s">
        <v>488</v>
      </c>
      <c r="B155" s="420" t="s">
        <v>489</v>
      </c>
      <c r="C155" s="254" t="s">
        <v>316</v>
      </c>
      <c r="D155" s="123"/>
      <c r="E155" s="123">
        <v>1</v>
      </c>
      <c r="F155" s="247">
        <f t="shared" si="26"/>
        <v>96150</v>
      </c>
      <c r="G155" s="372">
        <f t="shared" si="28"/>
        <v>96150</v>
      </c>
      <c r="H155" s="416"/>
      <c r="I155" s="416"/>
      <c r="J155" s="405">
        <v>115530</v>
      </c>
      <c r="K155" s="406">
        <v>85575</v>
      </c>
      <c r="L155" s="407">
        <f>K155*E155</f>
        <v>85575</v>
      </c>
      <c r="M155" s="407"/>
      <c r="N155" s="407"/>
      <c r="O155" s="407"/>
      <c r="P155" s="407"/>
      <c r="Q155" s="407"/>
      <c r="R155" s="407"/>
      <c r="S155" s="407"/>
      <c r="T155" s="407"/>
    </row>
    <row r="156" spans="1:20" s="2" customFormat="1" hidden="1" outlineLevel="1">
      <c r="A156" s="269" t="s">
        <v>490</v>
      </c>
      <c r="B156" s="420" t="s">
        <v>491</v>
      </c>
      <c r="C156" s="254" t="s">
        <v>316</v>
      </c>
      <c r="D156" s="123"/>
      <c r="E156" s="123">
        <v>1</v>
      </c>
      <c r="F156" s="247">
        <f t="shared" si="26"/>
        <v>45420</v>
      </c>
      <c r="G156" s="372">
        <f t="shared" si="28"/>
        <v>45420</v>
      </c>
      <c r="H156" s="416"/>
      <c r="I156" s="416"/>
      <c r="J156" s="405">
        <v>54570</v>
      </c>
      <c r="K156" s="406">
        <v>40425</v>
      </c>
      <c r="L156" s="407">
        <f>K156*E156</f>
        <v>40425</v>
      </c>
      <c r="M156" s="461"/>
      <c r="N156" s="407"/>
      <c r="O156" s="407"/>
      <c r="P156" s="407"/>
      <c r="Q156" s="407"/>
      <c r="R156" s="407"/>
      <c r="S156" s="407"/>
      <c r="T156" s="407"/>
    </row>
    <row r="157" spans="1:20" s="2" customFormat="1" hidden="1" outlineLevel="1">
      <c r="A157" s="237"/>
      <c r="B157" s="293" t="s">
        <v>568</v>
      </c>
      <c r="C157" s="246"/>
      <c r="D157" s="123"/>
      <c r="E157" s="123"/>
      <c r="F157" s="247">
        <f t="shared" si="26"/>
        <v>0</v>
      </c>
      <c r="G157" s="372"/>
      <c r="H157" s="416"/>
      <c r="I157" s="416"/>
      <c r="J157" s="405"/>
      <c r="K157" s="406"/>
      <c r="L157" s="407">
        <f>K157*E157</f>
        <v>0</v>
      </c>
      <c r="M157" s="407"/>
      <c r="N157" s="407"/>
      <c r="O157" s="407"/>
      <c r="P157" s="407"/>
      <c r="Q157" s="407"/>
      <c r="R157" s="407"/>
      <c r="S157" s="407"/>
      <c r="T157" s="407"/>
    </row>
    <row r="158" spans="1:20" s="2" customFormat="1" hidden="1" outlineLevel="1">
      <c r="A158" s="269" t="s">
        <v>492</v>
      </c>
      <c r="B158" s="420" t="s">
        <v>493</v>
      </c>
      <c r="C158" s="254" t="s">
        <v>316</v>
      </c>
      <c r="D158" s="123"/>
      <c r="E158" s="123">
        <v>1</v>
      </c>
      <c r="F158" s="247">
        <f t="shared" si="26"/>
        <v>696630</v>
      </c>
      <c r="G158" s="372">
        <f t="shared" si="28"/>
        <v>696630</v>
      </c>
      <c r="H158" s="416"/>
      <c r="I158" s="416"/>
      <c r="J158" s="405">
        <v>837000</v>
      </c>
      <c r="K158" s="406">
        <v>620000</v>
      </c>
      <c r="L158" s="407">
        <f>K158*E158</f>
        <v>620000</v>
      </c>
      <c r="M158" s="407"/>
      <c r="N158" s="407"/>
      <c r="O158" s="407"/>
      <c r="P158" s="407"/>
      <c r="Q158" s="407"/>
      <c r="R158" s="407"/>
      <c r="S158" s="407"/>
      <c r="T158" s="407"/>
    </row>
    <row r="159" spans="1:20" s="2" customFormat="1" hidden="1" outlineLevel="1">
      <c r="A159" s="269" t="s">
        <v>494</v>
      </c>
      <c r="B159" s="420" t="s">
        <v>495</v>
      </c>
      <c r="C159" s="254" t="s">
        <v>316</v>
      </c>
      <c r="D159" s="123"/>
      <c r="E159" s="123">
        <v>1</v>
      </c>
      <c r="F159" s="247">
        <f t="shared" si="26"/>
        <v>561800</v>
      </c>
      <c r="G159" s="372">
        <f t="shared" si="28"/>
        <v>561800</v>
      </c>
      <c r="H159" s="416"/>
      <c r="I159" s="416"/>
      <c r="J159" s="405">
        <v>675000</v>
      </c>
      <c r="K159" s="406">
        <v>500000</v>
      </c>
      <c r="L159" s="407">
        <f>K159*E159</f>
        <v>500000</v>
      </c>
      <c r="M159" s="407"/>
      <c r="N159" s="407"/>
      <c r="O159" s="407"/>
      <c r="P159" s="407"/>
      <c r="Q159" s="407"/>
      <c r="R159" s="407"/>
      <c r="S159" s="407"/>
      <c r="T159" s="407"/>
    </row>
    <row r="160" spans="1:20" s="2" customFormat="1" hidden="1" outlineLevel="1">
      <c r="A160" s="269" t="s">
        <v>496</v>
      </c>
      <c r="B160" s="420" t="s">
        <v>497</v>
      </c>
      <c r="C160" s="254" t="s">
        <v>316</v>
      </c>
      <c r="D160" s="123"/>
      <c r="E160" s="123">
        <v>1</v>
      </c>
      <c r="F160" s="247">
        <f t="shared" si="26"/>
        <v>337080</v>
      </c>
      <c r="G160" s="372">
        <f t="shared" si="28"/>
        <v>337080</v>
      </c>
      <c r="H160" s="416"/>
      <c r="I160" s="416"/>
      <c r="J160" s="405">
        <v>405000</v>
      </c>
      <c r="K160" s="406">
        <v>300000</v>
      </c>
      <c r="L160" s="407">
        <f>K160*E160</f>
        <v>300000</v>
      </c>
      <c r="M160" s="407"/>
      <c r="N160" s="407"/>
      <c r="O160" s="407"/>
      <c r="P160" s="407"/>
      <c r="Q160" s="407"/>
      <c r="R160" s="407"/>
      <c r="S160" s="407"/>
      <c r="T160" s="407"/>
    </row>
    <row r="161" spans="1:20" s="2" customFormat="1" hidden="1" outlineLevel="1">
      <c r="A161" s="269" t="s">
        <v>498</v>
      </c>
      <c r="B161" s="420" t="s">
        <v>499</v>
      </c>
      <c r="C161" s="254" t="s">
        <v>342</v>
      </c>
      <c r="D161" s="123"/>
      <c r="E161" s="123">
        <v>1</v>
      </c>
      <c r="F161" s="247">
        <f t="shared" si="26"/>
        <v>140450</v>
      </c>
      <c r="G161" s="372">
        <f t="shared" si="28"/>
        <v>140450</v>
      </c>
      <c r="H161" s="416"/>
      <c r="I161" s="416"/>
      <c r="J161" s="405">
        <v>168750</v>
      </c>
      <c r="K161" s="406">
        <v>125000</v>
      </c>
      <c r="L161" s="407">
        <f>K161*E161</f>
        <v>125000</v>
      </c>
      <c r="M161" s="407"/>
      <c r="N161" s="407"/>
      <c r="O161" s="407"/>
      <c r="P161" s="407"/>
      <c r="Q161" s="407"/>
      <c r="R161" s="407"/>
      <c r="S161" s="407"/>
      <c r="T161" s="407"/>
    </row>
    <row r="162" spans="1:20" s="2" customFormat="1" hidden="1" outlineLevel="1">
      <c r="A162" s="269" t="s">
        <v>500</v>
      </c>
      <c r="B162" s="420" t="s">
        <v>461</v>
      </c>
      <c r="C162" s="254" t="s">
        <v>316</v>
      </c>
      <c r="D162" s="123"/>
      <c r="E162" s="123">
        <v>1</v>
      </c>
      <c r="F162" s="247">
        <f t="shared" si="26"/>
        <v>168540</v>
      </c>
      <c r="G162" s="372">
        <f t="shared" si="28"/>
        <v>168540</v>
      </c>
      <c r="H162" s="416"/>
      <c r="I162" s="416"/>
      <c r="J162" s="405">
        <v>202500</v>
      </c>
      <c r="K162" s="406">
        <v>150000</v>
      </c>
      <c r="L162" s="407">
        <f>K162*E162</f>
        <v>150000</v>
      </c>
      <c r="M162" s="407"/>
      <c r="N162" s="407"/>
      <c r="O162" s="407"/>
      <c r="P162" s="407"/>
      <c r="Q162" s="407"/>
      <c r="R162" s="407"/>
      <c r="S162" s="407"/>
      <c r="T162" s="407"/>
    </row>
    <row r="163" spans="1:20" s="2" customFormat="1" hidden="1" outlineLevel="1">
      <c r="A163" s="269" t="s">
        <v>501</v>
      </c>
      <c r="B163" s="420" t="s">
        <v>469</v>
      </c>
      <c r="C163" s="254" t="s">
        <v>316</v>
      </c>
      <c r="D163" s="123"/>
      <c r="E163" s="123">
        <v>1</v>
      </c>
      <c r="F163" s="247">
        <f t="shared" si="26"/>
        <v>168540</v>
      </c>
      <c r="G163" s="372">
        <f t="shared" si="28"/>
        <v>168540</v>
      </c>
      <c r="H163" s="416"/>
      <c r="I163" s="416"/>
      <c r="J163" s="405">
        <v>168750</v>
      </c>
      <c r="K163" s="406">
        <v>150000</v>
      </c>
      <c r="L163" s="407">
        <f>K163*E163</f>
        <v>150000</v>
      </c>
      <c r="M163" s="407"/>
      <c r="N163" s="407"/>
      <c r="O163" s="407"/>
      <c r="P163" s="407"/>
      <c r="Q163" s="407"/>
      <c r="R163" s="407"/>
      <c r="S163" s="407"/>
      <c r="T163" s="407"/>
    </row>
    <row r="164" spans="1:20" s="2" customFormat="1" hidden="1" outlineLevel="1">
      <c r="A164" s="269" t="s">
        <v>502</v>
      </c>
      <c r="B164" s="420" t="s">
        <v>503</v>
      </c>
      <c r="C164" s="254" t="s">
        <v>316</v>
      </c>
      <c r="D164" s="123"/>
      <c r="E164" s="123">
        <v>1</v>
      </c>
      <c r="F164" s="247">
        <f t="shared" si="26"/>
        <v>140450</v>
      </c>
      <c r="G164" s="372">
        <f t="shared" si="28"/>
        <v>140450</v>
      </c>
      <c r="H164" s="416"/>
      <c r="I164" s="416"/>
      <c r="J164" s="405">
        <v>168750</v>
      </c>
      <c r="K164" s="406">
        <v>125000</v>
      </c>
      <c r="L164" s="407">
        <f>K164*E164</f>
        <v>125000</v>
      </c>
      <c r="M164" s="407"/>
      <c r="N164" s="407"/>
      <c r="O164" s="407"/>
      <c r="P164" s="407"/>
      <c r="Q164" s="407"/>
      <c r="R164" s="407"/>
      <c r="S164" s="407"/>
      <c r="T164" s="407"/>
    </row>
    <row r="165" spans="1:20" s="2" customFormat="1" hidden="1" outlineLevel="1">
      <c r="A165" s="269" t="s">
        <v>504</v>
      </c>
      <c r="B165" s="420" t="s">
        <v>471</v>
      </c>
      <c r="C165" s="254" t="s">
        <v>316</v>
      </c>
      <c r="D165" s="123"/>
      <c r="E165" s="123">
        <v>1</v>
      </c>
      <c r="F165" s="247">
        <f t="shared" si="26"/>
        <v>449440</v>
      </c>
      <c r="G165" s="372">
        <f t="shared" si="28"/>
        <v>449440</v>
      </c>
      <c r="H165" s="416"/>
      <c r="I165" s="416"/>
      <c r="J165" s="405">
        <v>540000</v>
      </c>
      <c r="K165" s="406">
        <v>400000</v>
      </c>
      <c r="L165" s="407">
        <f>K165*E165</f>
        <v>400000</v>
      </c>
      <c r="M165" s="407"/>
      <c r="N165" s="407"/>
      <c r="O165" s="407"/>
      <c r="P165" s="407"/>
      <c r="Q165" s="407"/>
      <c r="R165" s="407"/>
      <c r="S165" s="407"/>
      <c r="T165" s="407"/>
    </row>
    <row r="166" spans="1:20" s="2" customFormat="1" hidden="1" outlineLevel="1">
      <c r="A166" s="269" t="s">
        <v>505</v>
      </c>
      <c r="B166" s="420" t="s">
        <v>506</v>
      </c>
      <c r="C166" s="254" t="s">
        <v>316</v>
      </c>
      <c r="D166" s="123"/>
      <c r="E166" s="123">
        <v>1</v>
      </c>
      <c r="F166" s="247">
        <f t="shared" si="26"/>
        <v>252810</v>
      </c>
      <c r="G166" s="372">
        <f t="shared" si="28"/>
        <v>252810</v>
      </c>
      <c r="H166" s="416"/>
      <c r="I166" s="416"/>
      <c r="J166" s="405">
        <v>303750</v>
      </c>
      <c r="K166" s="406">
        <v>225000</v>
      </c>
      <c r="L166" s="407">
        <f>K166*E166</f>
        <v>225000</v>
      </c>
      <c r="M166" s="460">
        <f>SUM(L146:L166)</f>
        <v>9302600</v>
      </c>
      <c r="N166" s="407"/>
      <c r="O166" s="407"/>
      <c r="P166" s="407"/>
      <c r="Q166" s="407"/>
      <c r="R166" s="407"/>
      <c r="S166" s="407"/>
      <c r="T166" s="407"/>
    </row>
    <row r="167" spans="1:20" s="2" customFormat="1" hidden="1" outlineLevel="1">
      <c r="A167" s="263">
        <v>304</v>
      </c>
      <c r="B167" s="264" t="s">
        <v>507</v>
      </c>
      <c r="C167" s="253"/>
      <c r="D167" s="123"/>
      <c r="E167" s="123"/>
      <c r="F167" s="247">
        <f t="shared" si="26"/>
        <v>0</v>
      </c>
      <c r="G167" s="374"/>
      <c r="H167" s="416"/>
      <c r="I167" s="416"/>
      <c r="J167" s="405"/>
      <c r="K167" s="406"/>
      <c r="L167" s="407">
        <f>K167*E167</f>
        <v>0</v>
      </c>
      <c r="M167" s="407"/>
      <c r="N167" s="407"/>
      <c r="O167" s="407"/>
      <c r="P167" s="407"/>
      <c r="Q167" s="407"/>
      <c r="R167" s="407"/>
      <c r="S167" s="407"/>
      <c r="T167" s="407"/>
    </row>
    <row r="168" spans="1:20" s="2" customFormat="1" ht="13.8" hidden="1" outlineLevel="1">
      <c r="A168" s="271" t="s">
        <v>571</v>
      </c>
      <c r="B168" s="268" t="s">
        <v>567</v>
      </c>
      <c r="C168" s="248" t="s">
        <v>321</v>
      </c>
      <c r="D168" s="123"/>
      <c r="E168" s="123">
        <v>1</v>
      </c>
      <c r="F168" s="247">
        <f t="shared" si="26"/>
        <v>786520</v>
      </c>
      <c r="G168" s="372">
        <f t="shared" ref="G168" si="30">F168*E168</f>
        <v>786520</v>
      </c>
      <c r="H168" s="416"/>
      <c r="I168" s="416"/>
      <c r="J168" s="406">
        <f>G168</f>
        <v>786520</v>
      </c>
      <c r="K168" s="407">
        <f>300000+200000+200000</f>
        <v>700000</v>
      </c>
      <c r="L168" s="407">
        <f>K168*E168</f>
        <v>700000</v>
      </c>
      <c r="M168" s="407"/>
      <c r="N168" s="407"/>
      <c r="O168" s="407"/>
      <c r="P168" s="407"/>
      <c r="Q168" s="407"/>
      <c r="R168" s="407"/>
      <c r="S168" s="407"/>
      <c r="T168" s="407"/>
    </row>
    <row r="169" spans="1:20" s="2" customFormat="1" hidden="1" outlineLevel="1">
      <c r="A169" s="270" t="s">
        <v>508</v>
      </c>
      <c r="B169" s="421" t="s">
        <v>509</v>
      </c>
      <c r="C169" s="256" t="s">
        <v>316</v>
      </c>
      <c r="D169" s="123"/>
      <c r="E169" s="123">
        <v>1</v>
      </c>
      <c r="F169" s="247">
        <f t="shared" si="26"/>
        <v>0</v>
      </c>
      <c r="G169" s="377">
        <f t="shared" ref="G169:G186" si="31">E169*F169</f>
        <v>0</v>
      </c>
      <c r="H169" s="416"/>
      <c r="I169" s="416"/>
      <c r="J169" s="405">
        <v>0</v>
      </c>
      <c r="K169" s="406">
        <v>0</v>
      </c>
      <c r="L169" s="407">
        <f>K169*E169</f>
        <v>0</v>
      </c>
      <c r="M169" s="407"/>
      <c r="N169" s="407"/>
      <c r="O169" s="407"/>
      <c r="P169" s="407"/>
      <c r="Q169" s="407"/>
      <c r="R169" s="407"/>
      <c r="S169" s="407"/>
      <c r="T169" s="407"/>
    </row>
    <row r="170" spans="1:20" s="2" customFormat="1" hidden="1" outlineLevel="1">
      <c r="A170" s="269" t="s">
        <v>510</v>
      </c>
      <c r="B170" s="420" t="s">
        <v>511</v>
      </c>
      <c r="C170" s="254" t="s">
        <v>111</v>
      </c>
      <c r="D170" s="123"/>
      <c r="E170" s="123">
        <v>400</v>
      </c>
      <c r="F170" s="247">
        <f t="shared" si="26"/>
        <v>1400</v>
      </c>
      <c r="G170" s="372">
        <f t="shared" si="31"/>
        <v>560000</v>
      </c>
      <c r="H170" s="416"/>
      <c r="I170" s="416"/>
      <c r="J170" s="405">
        <v>1690</v>
      </c>
      <c r="K170" s="406">
        <f>500000/400</f>
        <v>1250</v>
      </c>
      <c r="L170" s="407">
        <f>K170*E170</f>
        <v>500000</v>
      </c>
      <c r="M170" s="407"/>
      <c r="N170" s="407"/>
      <c r="O170" s="407"/>
      <c r="P170" s="407"/>
      <c r="Q170" s="407"/>
      <c r="R170" s="407"/>
      <c r="S170" s="407"/>
      <c r="T170" s="407"/>
    </row>
    <row r="171" spans="1:20" s="2" customFormat="1" hidden="1" outlineLevel="1">
      <c r="A171" s="269" t="s">
        <v>512</v>
      </c>
      <c r="B171" s="420" t="s">
        <v>513</v>
      </c>
      <c r="C171" s="254" t="s">
        <v>316</v>
      </c>
      <c r="D171" s="123"/>
      <c r="E171" s="123">
        <v>1</v>
      </c>
      <c r="F171" s="247">
        <f t="shared" si="26"/>
        <v>94380</v>
      </c>
      <c r="G171" s="372">
        <f t="shared" si="31"/>
        <v>94380</v>
      </c>
      <c r="H171" s="416"/>
      <c r="I171" s="416"/>
      <c r="J171" s="405">
        <v>113400</v>
      </c>
      <c r="K171" s="406">
        <v>84000</v>
      </c>
      <c r="L171" s="407">
        <f>K171*E171</f>
        <v>84000</v>
      </c>
      <c r="M171" s="407"/>
      <c r="N171" s="407"/>
      <c r="O171" s="407"/>
      <c r="P171" s="407"/>
      <c r="Q171" s="407"/>
      <c r="R171" s="407"/>
      <c r="S171" s="407"/>
      <c r="T171" s="407"/>
    </row>
    <row r="172" spans="1:20" s="2" customFormat="1" hidden="1" outlineLevel="1">
      <c r="A172" s="269" t="s">
        <v>514</v>
      </c>
      <c r="B172" s="420" t="s">
        <v>515</v>
      </c>
      <c r="C172" s="254" t="s">
        <v>316</v>
      </c>
      <c r="D172" s="123"/>
      <c r="E172" s="123">
        <v>1</v>
      </c>
      <c r="F172" s="247">
        <f t="shared" si="26"/>
        <v>134830</v>
      </c>
      <c r="G172" s="372">
        <f t="shared" si="31"/>
        <v>134830</v>
      </c>
      <c r="H172" s="416"/>
      <c r="I172" s="416"/>
      <c r="J172" s="405">
        <v>162000</v>
      </c>
      <c r="K172" s="406">
        <v>120000</v>
      </c>
      <c r="L172" s="407">
        <f>K172*E172</f>
        <v>120000</v>
      </c>
      <c r="M172" s="407"/>
      <c r="N172" s="407"/>
      <c r="O172" s="407"/>
      <c r="P172" s="407"/>
      <c r="Q172" s="407"/>
      <c r="R172" s="407"/>
      <c r="S172" s="407"/>
      <c r="T172" s="407"/>
    </row>
    <row r="173" spans="1:20" s="2" customFormat="1" hidden="1" outlineLevel="1">
      <c r="A173" s="269" t="s">
        <v>516</v>
      </c>
      <c r="B173" s="420" t="s">
        <v>517</v>
      </c>
      <c r="C173" s="254" t="s">
        <v>316</v>
      </c>
      <c r="D173" s="123"/>
      <c r="E173" s="123">
        <v>1</v>
      </c>
      <c r="F173" s="247">
        <f t="shared" ref="F173:F186" si="32">MROUND(K173/$M$49,10)</f>
        <v>538990</v>
      </c>
      <c r="G173" s="372">
        <f t="shared" si="31"/>
        <v>538990</v>
      </c>
      <c r="H173" s="416"/>
      <c r="I173" s="416"/>
      <c r="J173" s="405">
        <v>647600</v>
      </c>
      <c r="K173" s="406">
        <v>479700</v>
      </c>
      <c r="L173" s="407">
        <f>K173*E173</f>
        <v>479700</v>
      </c>
      <c r="M173" s="407"/>
      <c r="N173" s="407"/>
      <c r="O173" s="407"/>
      <c r="P173" s="407"/>
      <c r="Q173" s="407"/>
      <c r="R173" s="407"/>
      <c r="S173" s="407"/>
      <c r="T173" s="407"/>
    </row>
    <row r="174" spans="1:20" s="2" customFormat="1" hidden="1" outlineLevel="1">
      <c r="A174" s="269" t="s">
        <v>518</v>
      </c>
      <c r="B174" s="420" t="s">
        <v>519</v>
      </c>
      <c r="C174" s="254" t="s">
        <v>316</v>
      </c>
      <c r="D174" s="123"/>
      <c r="E174" s="123">
        <v>1</v>
      </c>
      <c r="F174" s="247">
        <f t="shared" si="32"/>
        <v>34660</v>
      </c>
      <c r="G174" s="372">
        <f t="shared" si="31"/>
        <v>34660</v>
      </c>
      <c r="H174" s="416"/>
      <c r="I174" s="416"/>
      <c r="J174" s="405">
        <v>41650</v>
      </c>
      <c r="K174" s="406">
        <v>30850</v>
      </c>
      <c r="L174" s="407">
        <f>K174*E174</f>
        <v>30850</v>
      </c>
      <c r="M174" s="407"/>
      <c r="N174" s="407"/>
      <c r="O174" s="407"/>
      <c r="P174" s="407"/>
      <c r="Q174" s="407"/>
      <c r="R174" s="407"/>
      <c r="S174" s="407"/>
      <c r="T174" s="407"/>
    </row>
    <row r="175" spans="1:20" s="2" customFormat="1" hidden="1" outlineLevel="1">
      <c r="A175" s="269" t="s">
        <v>520</v>
      </c>
      <c r="B175" s="420" t="s">
        <v>521</v>
      </c>
      <c r="C175" s="254" t="s">
        <v>316</v>
      </c>
      <c r="D175" s="123"/>
      <c r="E175" s="123">
        <v>1</v>
      </c>
      <c r="F175" s="247">
        <f t="shared" si="32"/>
        <v>57190</v>
      </c>
      <c r="G175" s="372">
        <f t="shared" si="31"/>
        <v>57190</v>
      </c>
      <c r="H175" s="416"/>
      <c r="I175" s="416"/>
      <c r="J175" s="405">
        <v>68720</v>
      </c>
      <c r="K175" s="406">
        <v>50900</v>
      </c>
      <c r="L175" s="407">
        <f>K175*E175</f>
        <v>50900</v>
      </c>
      <c r="M175" s="407"/>
      <c r="N175" s="407"/>
      <c r="O175" s="407"/>
      <c r="P175" s="407"/>
      <c r="Q175" s="407"/>
      <c r="R175" s="407"/>
      <c r="S175" s="407"/>
      <c r="T175" s="407"/>
    </row>
    <row r="176" spans="1:20" s="2" customFormat="1" hidden="1" outlineLevel="1">
      <c r="A176" s="269" t="s">
        <v>522</v>
      </c>
      <c r="B176" s="420" t="s">
        <v>523</v>
      </c>
      <c r="C176" s="254" t="s">
        <v>316</v>
      </c>
      <c r="D176" s="123"/>
      <c r="E176" s="123">
        <v>1</v>
      </c>
      <c r="F176" s="247">
        <f t="shared" si="32"/>
        <v>112360</v>
      </c>
      <c r="G176" s="372">
        <f t="shared" si="31"/>
        <v>112360</v>
      </c>
      <c r="H176" s="416"/>
      <c r="I176" s="416"/>
      <c r="J176" s="405">
        <v>135000</v>
      </c>
      <c r="K176" s="406">
        <v>100000</v>
      </c>
      <c r="L176" s="407">
        <f>K176*E176</f>
        <v>100000</v>
      </c>
      <c r="M176" s="461"/>
      <c r="N176" s="407"/>
      <c r="O176" s="407"/>
      <c r="P176" s="407"/>
      <c r="Q176" s="407"/>
      <c r="R176" s="407"/>
      <c r="S176" s="407"/>
      <c r="T176" s="407"/>
    </row>
    <row r="177" spans="1:20" s="2" customFormat="1" hidden="1" outlineLevel="1">
      <c r="A177" s="237"/>
      <c r="B177" s="293" t="s">
        <v>568</v>
      </c>
      <c r="C177" s="246"/>
      <c r="D177" s="123"/>
      <c r="E177" s="123"/>
      <c r="F177" s="247">
        <f t="shared" si="32"/>
        <v>0</v>
      </c>
      <c r="G177" s="372"/>
      <c r="H177" s="416"/>
      <c r="I177" s="416"/>
      <c r="J177" s="405"/>
      <c r="K177" s="406"/>
      <c r="L177" s="407">
        <f>K177*E177</f>
        <v>0</v>
      </c>
      <c r="M177" s="407"/>
      <c r="N177" s="407"/>
      <c r="O177" s="407"/>
      <c r="P177" s="407"/>
      <c r="Q177" s="407"/>
      <c r="R177" s="407"/>
      <c r="S177" s="407"/>
      <c r="T177" s="407"/>
    </row>
    <row r="178" spans="1:20" s="2" customFormat="1" hidden="1" outlineLevel="1">
      <c r="A178" s="269" t="s">
        <v>524</v>
      </c>
      <c r="B178" s="420" t="s">
        <v>525</v>
      </c>
      <c r="C178" s="254" t="s">
        <v>316</v>
      </c>
      <c r="D178" s="123"/>
      <c r="E178" s="123">
        <v>1</v>
      </c>
      <c r="F178" s="247">
        <f t="shared" si="32"/>
        <v>1741570</v>
      </c>
      <c r="G178" s="372">
        <f t="shared" si="31"/>
        <v>1741570</v>
      </c>
      <c r="H178" s="416"/>
      <c r="I178" s="416"/>
      <c r="J178" s="405">
        <v>2092500</v>
      </c>
      <c r="K178" s="406">
        <v>1550000</v>
      </c>
      <c r="L178" s="407">
        <f>K178*E178</f>
        <v>1550000</v>
      </c>
      <c r="M178" s="407"/>
      <c r="N178" s="407"/>
      <c r="O178" s="407"/>
      <c r="P178" s="407"/>
      <c r="Q178" s="407"/>
      <c r="R178" s="407"/>
      <c r="S178" s="407"/>
      <c r="T178" s="407"/>
    </row>
    <row r="179" spans="1:20" s="2" customFormat="1" hidden="1" outlineLevel="1">
      <c r="A179" s="269" t="s">
        <v>526</v>
      </c>
      <c r="B179" s="420" t="s">
        <v>527</v>
      </c>
      <c r="C179" s="254" t="s">
        <v>316</v>
      </c>
      <c r="D179" s="123"/>
      <c r="E179" s="123">
        <v>1</v>
      </c>
      <c r="F179" s="247">
        <f t="shared" si="32"/>
        <v>1516850</v>
      </c>
      <c r="G179" s="372">
        <f t="shared" si="31"/>
        <v>1516850</v>
      </c>
      <c r="H179" s="416"/>
      <c r="I179" s="416"/>
      <c r="J179" s="405">
        <v>1822500</v>
      </c>
      <c r="K179" s="406">
        <v>1350000</v>
      </c>
      <c r="L179" s="407">
        <f>K179*E179</f>
        <v>1350000</v>
      </c>
      <c r="M179" s="407"/>
      <c r="N179" s="407"/>
      <c r="O179" s="407"/>
      <c r="P179" s="407"/>
      <c r="Q179" s="407"/>
      <c r="R179" s="407"/>
      <c r="S179" s="407"/>
      <c r="T179" s="407"/>
    </row>
    <row r="180" spans="1:20" s="2" customFormat="1" hidden="1" outlineLevel="1">
      <c r="A180" s="269" t="s">
        <v>528</v>
      </c>
      <c r="B180" s="420" t="s">
        <v>529</v>
      </c>
      <c r="C180" s="254" t="s">
        <v>316</v>
      </c>
      <c r="D180" s="123"/>
      <c r="E180" s="123">
        <v>1</v>
      </c>
      <c r="F180" s="247">
        <f t="shared" si="32"/>
        <v>168540</v>
      </c>
      <c r="G180" s="372">
        <f t="shared" si="31"/>
        <v>168540</v>
      </c>
      <c r="H180" s="416"/>
      <c r="I180" s="416"/>
      <c r="J180" s="405">
        <v>202500</v>
      </c>
      <c r="K180" s="406">
        <v>150000</v>
      </c>
      <c r="L180" s="407">
        <f>K180*E180</f>
        <v>150000</v>
      </c>
      <c r="M180" s="407"/>
      <c r="N180" s="407"/>
      <c r="O180" s="407"/>
      <c r="P180" s="407"/>
      <c r="Q180" s="407"/>
      <c r="R180" s="407"/>
      <c r="S180" s="407"/>
      <c r="T180" s="407"/>
    </row>
    <row r="181" spans="1:20" s="2" customFormat="1" hidden="1" outlineLevel="1">
      <c r="A181" s="269" t="s">
        <v>530</v>
      </c>
      <c r="B181" s="420" t="s">
        <v>531</v>
      </c>
      <c r="C181" s="254" t="s">
        <v>342</v>
      </c>
      <c r="D181" s="123"/>
      <c r="E181" s="123">
        <v>1</v>
      </c>
      <c r="F181" s="247">
        <f t="shared" si="32"/>
        <v>393260</v>
      </c>
      <c r="G181" s="372">
        <f t="shared" si="31"/>
        <v>393260</v>
      </c>
      <c r="H181" s="416"/>
      <c r="I181" s="416"/>
      <c r="J181" s="405">
        <v>472500</v>
      </c>
      <c r="K181" s="406">
        <v>350000</v>
      </c>
      <c r="L181" s="407">
        <f>K181*E181</f>
        <v>350000</v>
      </c>
      <c r="M181" s="407"/>
      <c r="N181" s="407"/>
      <c r="O181" s="407"/>
      <c r="P181" s="407"/>
      <c r="Q181" s="407"/>
      <c r="R181" s="407"/>
      <c r="S181" s="407"/>
      <c r="T181" s="407"/>
    </row>
    <row r="182" spans="1:20" s="2" customFormat="1" hidden="1" outlineLevel="1">
      <c r="A182" s="269" t="s">
        <v>532</v>
      </c>
      <c r="B182" s="420" t="s">
        <v>533</v>
      </c>
      <c r="C182" s="254" t="s">
        <v>316</v>
      </c>
      <c r="D182" s="123"/>
      <c r="E182" s="123">
        <v>1</v>
      </c>
      <c r="F182" s="247">
        <f t="shared" si="32"/>
        <v>505620</v>
      </c>
      <c r="G182" s="372">
        <f t="shared" si="31"/>
        <v>505620</v>
      </c>
      <c r="H182" s="416"/>
      <c r="I182" s="416"/>
      <c r="J182" s="405">
        <v>607500</v>
      </c>
      <c r="K182" s="406">
        <v>450000</v>
      </c>
      <c r="L182" s="407">
        <f>K182*E182</f>
        <v>450000</v>
      </c>
      <c r="M182" s="407"/>
      <c r="N182" s="407"/>
      <c r="O182" s="407"/>
      <c r="P182" s="407"/>
      <c r="Q182" s="407"/>
      <c r="R182" s="407"/>
      <c r="S182" s="407"/>
      <c r="T182" s="407"/>
    </row>
    <row r="183" spans="1:20" s="2" customFormat="1" hidden="1" outlineLevel="1">
      <c r="A183" s="269" t="s">
        <v>534</v>
      </c>
      <c r="B183" s="420" t="s">
        <v>535</v>
      </c>
      <c r="C183" s="254" t="s">
        <v>316</v>
      </c>
      <c r="D183" s="123"/>
      <c r="E183" s="123">
        <v>1</v>
      </c>
      <c r="F183" s="247">
        <f t="shared" si="32"/>
        <v>140450</v>
      </c>
      <c r="G183" s="372">
        <f t="shared" si="31"/>
        <v>140450</v>
      </c>
      <c r="H183" s="416"/>
      <c r="I183" s="416"/>
      <c r="J183" s="405">
        <v>168750</v>
      </c>
      <c r="K183" s="406">
        <v>125000</v>
      </c>
      <c r="L183" s="407">
        <f>K183*E183</f>
        <v>125000</v>
      </c>
      <c r="M183" s="407"/>
      <c r="N183" s="407"/>
      <c r="O183" s="407"/>
      <c r="P183" s="407"/>
      <c r="Q183" s="407"/>
      <c r="R183" s="407"/>
      <c r="S183" s="407"/>
      <c r="T183" s="407"/>
    </row>
    <row r="184" spans="1:20" s="2" customFormat="1" hidden="1" outlineLevel="1">
      <c r="A184" s="269" t="s">
        <v>536</v>
      </c>
      <c r="B184" s="420" t="s">
        <v>537</v>
      </c>
      <c r="C184" s="254" t="s">
        <v>316</v>
      </c>
      <c r="D184" s="123"/>
      <c r="E184" s="123">
        <v>1</v>
      </c>
      <c r="F184" s="247">
        <f t="shared" si="32"/>
        <v>1123600</v>
      </c>
      <c r="G184" s="372">
        <f t="shared" si="31"/>
        <v>1123600</v>
      </c>
      <c r="H184" s="416"/>
      <c r="I184" s="416"/>
      <c r="J184" s="405">
        <v>540000</v>
      </c>
      <c r="K184" s="406">
        <f>1000000</f>
        <v>1000000</v>
      </c>
      <c r="L184" s="407">
        <f>K184*E184</f>
        <v>1000000</v>
      </c>
      <c r="M184" s="407">
        <v>400000</v>
      </c>
      <c r="N184" s="407"/>
      <c r="O184" s="407"/>
      <c r="P184" s="407"/>
      <c r="Q184" s="407"/>
      <c r="R184" s="407"/>
      <c r="S184" s="407"/>
      <c r="T184" s="407"/>
    </row>
    <row r="185" spans="1:20" s="2" customFormat="1" hidden="1" outlineLevel="1">
      <c r="A185" s="269" t="s">
        <v>538</v>
      </c>
      <c r="B185" s="420" t="s">
        <v>539</v>
      </c>
      <c r="C185" s="254" t="s">
        <v>316</v>
      </c>
      <c r="D185" s="123"/>
      <c r="E185" s="123">
        <v>1</v>
      </c>
      <c r="F185" s="247">
        <f t="shared" si="32"/>
        <v>505620</v>
      </c>
      <c r="G185" s="372">
        <f t="shared" si="31"/>
        <v>505620</v>
      </c>
      <c r="H185" s="416"/>
      <c r="I185" s="416"/>
      <c r="J185" s="405">
        <v>607500</v>
      </c>
      <c r="K185" s="406">
        <v>450000</v>
      </c>
      <c r="L185" s="407">
        <f>K185*E185</f>
        <v>450000</v>
      </c>
      <c r="M185" s="407"/>
      <c r="N185" s="407"/>
      <c r="O185" s="407"/>
      <c r="P185" s="407"/>
      <c r="Q185" s="407"/>
      <c r="R185" s="407"/>
      <c r="S185" s="407"/>
      <c r="T185" s="407"/>
    </row>
    <row r="186" spans="1:20" s="2" customFormat="1" hidden="1" outlineLevel="1">
      <c r="A186" s="269" t="s">
        <v>540</v>
      </c>
      <c r="B186" s="420" t="s">
        <v>541</v>
      </c>
      <c r="C186" s="254" t="s">
        <v>316</v>
      </c>
      <c r="D186" s="123"/>
      <c r="E186" s="123">
        <v>1</v>
      </c>
      <c r="F186" s="247">
        <f t="shared" si="32"/>
        <v>606740</v>
      </c>
      <c r="G186" s="372">
        <f t="shared" si="31"/>
        <v>606740</v>
      </c>
      <c r="H186" s="416"/>
      <c r="I186" s="416"/>
      <c r="J186" s="405">
        <v>729000</v>
      </c>
      <c r="K186" s="406">
        <v>540000</v>
      </c>
      <c r="L186" s="407">
        <f>K186*E186</f>
        <v>540000</v>
      </c>
      <c r="M186" s="407"/>
      <c r="N186" s="407"/>
      <c r="O186" s="407"/>
      <c r="P186" s="407"/>
      <c r="Q186" s="407"/>
      <c r="R186" s="407"/>
      <c r="S186" s="407"/>
      <c r="T186" s="407"/>
    </row>
    <row r="187" spans="1:20" s="2" customFormat="1" hidden="1" outlineLevel="1">
      <c r="A187" s="269" t="s">
        <v>542</v>
      </c>
      <c r="B187" s="420" t="s">
        <v>543</v>
      </c>
      <c r="C187" s="254" t="s">
        <v>316</v>
      </c>
      <c r="D187" s="123"/>
      <c r="E187" s="123">
        <v>1</v>
      </c>
      <c r="F187" s="247">
        <f>MROUND(K187/$M$49,10)</f>
        <v>56180</v>
      </c>
      <c r="G187" s="372">
        <f>E187*F187</f>
        <v>56180</v>
      </c>
      <c r="H187" s="416"/>
      <c r="I187" s="416"/>
      <c r="J187" s="405">
        <v>67500</v>
      </c>
      <c r="K187" s="406">
        <v>50000</v>
      </c>
      <c r="L187" s="407">
        <f>K187*E187</f>
        <v>50000</v>
      </c>
      <c r="M187" s="460">
        <f>SUM(L168:L187)</f>
        <v>8080450</v>
      </c>
      <c r="N187" s="462">
        <f>M187+M166+M144+M107</f>
        <v>84272275</v>
      </c>
      <c r="O187" s="407"/>
      <c r="P187" s="407"/>
      <c r="Q187" s="407"/>
      <c r="R187" s="407"/>
      <c r="S187" s="407"/>
      <c r="T187" s="407"/>
    </row>
    <row r="188" spans="1:20" s="213" customFormat="1" ht="14.4" hidden="1" customHeight="1" outlineLevel="1">
      <c r="A188" s="352" t="s">
        <v>598</v>
      </c>
      <c r="B188" s="332" t="s">
        <v>599</v>
      </c>
      <c r="C188" s="333" t="s">
        <v>316</v>
      </c>
      <c r="D188" s="123">
        <v>1</v>
      </c>
      <c r="E188" s="123">
        <v>-150</v>
      </c>
      <c r="F188" s="334">
        <f>+$M$190</f>
        <v>36517.98583333334</v>
      </c>
      <c r="G188" s="375">
        <f>F188*E188*D188</f>
        <v>-5477697.8750000009</v>
      </c>
      <c r="H188" s="416"/>
      <c r="I188" s="416"/>
      <c r="J188" s="520"/>
      <c r="K188" s="450"/>
      <c r="L188" s="591" t="s">
        <v>602</v>
      </c>
      <c r="M188" s="591"/>
      <c r="N188" s="214"/>
      <c r="O188" s="214"/>
      <c r="P188" s="214"/>
      <c r="Q188" s="214"/>
      <c r="R188" s="214"/>
      <c r="S188" s="214"/>
      <c r="T188" s="214"/>
    </row>
    <row r="189" spans="1:20" s="213" customFormat="1" hidden="1" outlineLevel="1">
      <c r="A189" s="352" t="s">
        <v>600</v>
      </c>
      <c r="B189" s="332" t="s">
        <v>601</v>
      </c>
      <c r="C189" s="333" t="s">
        <v>316</v>
      </c>
      <c r="D189" s="123">
        <v>1</v>
      </c>
      <c r="E189" s="123">
        <f>-250</f>
        <v>-250</v>
      </c>
      <c r="F189" s="334">
        <f>F188</f>
        <v>36517.98583333334</v>
      </c>
      <c r="G189" s="375">
        <f>F189*E189*D189</f>
        <v>-9129496.4583333358</v>
      </c>
      <c r="H189" s="416"/>
      <c r="I189" s="416"/>
      <c r="J189" s="520"/>
      <c r="K189" s="450"/>
      <c r="L189" s="591"/>
      <c r="M189" s="591"/>
      <c r="N189" s="214"/>
      <c r="O189" s="214"/>
      <c r="P189" s="214"/>
      <c r="Q189" s="214"/>
      <c r="R189" s="214"/>
      <c r="S189" s="214"/>
      <c r="T189" s="214"/>
    </row>
    <row r="190" spans="1:20" s="2" customFormat="1" ht="39.6" collapsed="1">
      <c r="A190" s="272"/>
      <c r="B190" s="371" t="s">
        <v>641</v>
      </c>
      <c r="C190" s="366" t="s">
        <v>316</v>
      </c>
      <c r="D190" s="123">
        <v>1</v>
      </c>
      <c r="E190" s="123">
        <v>1</v>
      </c>
      <c r="F190" s="247">
        <f>G190</f>
        <v>80080165.666666657</v>
      </c>
      <c r="G190" s="376">
        <f>SUM(G76:G189)</f>
        <v>80080165.666666657</v>
      </c>
      <c r="H190" s="416"/>
      <c r="I190" s="416"/>
      <c r="J190" s="449">
        <f>SUM(J77:J187)</f>
        <v>68634100</v>
      </c>
      <c r="K190" s="449">
        <f>SUM(K77:K187)</f>
        <v>51817190</v>
      </c>
      <c r="L190" s="449">
        <f>SUM(L75:L187)</f>
        <v>84272275</v>
      </c>
      <c r="M190" s="589">
        <f>(L190/1500)*0.65</f>
        <v>36517.98583333334</v>
      </c>
      <c r="N190" s="590"/>
      <c r="O190" s="407"/>
      <c r="P190" s="407"/>
      <c r="Q190" s="407"/>
      <c r="R190" s="407"/>
      <c r="S190" s="407"/>
      <c r="T190" s="407"/>
    </row>
    <row r="191" spans="1:20" s="870" customFormat="1" ht="7.8">
      <c r="A191" s="860"/>
      <c r="B191" s="861"/>
      <c r="C191" s="862"/>
      <c r="D191" s="863"/>
      <c r="E191" s="863"/>
      <c r="F191" s="864"/>
      <c r="G191" s="865"/>
      <c r="H191" s="866"/>
      <c r="I191" s="866"/>
      <c r="J191" s="867"/>
      <c r="K191" s="868"/>
      <c r="L191" s="868"/>
      <c r="M191" s="868"/>
      <c r="N191" s="868"/>
      <c r="O191" s="869"/>
      <c r="P191" s="868"/>
    </row>
    <row r="192" spans="1:20">
      <c r="A192" s="40"/>
      <c r="B192" s="41"/>
      <c r="C192" s="41"/>
      <c r="D192" s="123"/>
      <c r="E192" s="123"/>
      <c r="F192" s="43"/>
      <c r="G192" s="44">
        <f>SUM(G18:G26,G46,G73,G190)</f>
        <v>325137922.33333337</v>
      </c>
      <c r="H192" s="416"/>
      <c r="I192" s="416"/>
      <c r="K192" s="406"/>
      <c r="L192" s="406"/>
      <c r="M192" s="406"/>
      <c r="N192" s="406"/>
      <c r="O192" s="133"/>
      <c r="P192" s="463" t="s">
        <v>304</v>
      </c>
      <c r="Q192" s="587" t="e">
        <f>+G38+G39+G40+G41</f>
        <v>#VALUE!</v>
      </c>
      <c r="R192" s="586"/>
    </row>
    <row r="193" spans="1:20">
      <c r="A193" s="45" t="s">
        <v>59</v>
      </c>
      <c r="B193" s="46"/>
      <c r="C193" s="46"/>
      <c r="D193" s="47"/>
      <c r="E193" s="48"/>
      <c r="F193" s="49"/>
      <c r="G193" s="50"/>
      <c r="H193" s="416"/>
      <c r="I193" s="416"/>
      <c r="K193" s="406"/>
      <c r="L193" s="406"/>
      <c r="M193" s="406"/>
      <c r="N193" s="406"/>
      <c r="O193" s="133"/>
      <c r="P193" s="406"/>
    </row>
    <row r="194" spans="1:20">
      <c r="A194" s="51" t="s">
        <v>13</v>
      </c>
      <c r="B194" s="52" t="s">
        <v>14</v>
      </c>
      <c r="C194" s="52" t="s">
        <v>15</v>
      </c>
      <c r="D194" s="123"/>
      <c r="E194" s="53" t="s">
        <v>17</v>
      </c>
      <c r="F194" s="54"/>
      <c r="G194" s="20"/>
      <c r="H194" s="416"/>
      <c r="I194" s="416"/>
      <c r="K194" s="406"/>
      <c r="L194" s="406"/>
      <c r="M194" s="406"/>
      <c r="N194" s="406"/>
      <c r="O194" s="133"/>
      <c r="P194" s="406"/>
    </row>
    <row r="195" spans="1:20">
      <c r="A195" s="55">
        <v>201</v>
      </c>
      <c r="B195" s="56" t="s">
        <v>60</v>
      </c>
      <c r="C195" s="57" t="s">
        <v>61</v>
      </c>
      <c r="D195" s="123">
        <v>1</v>
      </c>
      <c r="E195" s="58">
        <v>9444.0999999999985</v>
      </c>
      <c r="F195" s="247">
        <f>MROUND(O195,10)</f>
        <v>7310</v>
      </c>
      <c r="G195" s="398" t="s">
        <v>659</v>
      </c>
      <c r="H195" s="416"/>
      <c r="I195" s="416"/>
      <c r="K195" s="406">
        <f>SUM(G196:G205)/$E195</f>
        <v>5021.5015547439907</v>
      </c>
      <c r="L195" s="406">
        <f>K195*$L$16</f>
        <v>502.15015547439907</v>
      </c>
      <c r="M195" s="406">
        <f>K195*$M$16</f>
        <v>100.43003109487982</v>
      </c>
      <c r="N195" s="406">
        <f>SUM(K195:M195)</f>
        <v>5624.08174131327</v>
      </c>
      <c r="O195" s="133">
        <f>N195*$P$5</f>
        <v>7311.3062637072508</v>
      </c>
      <c r="P195" s="406">
        <f>O195-N195</f>
        <v>1687.2245223939808</v>
      </c>
    </row>
    <row r="196" spans="1:20" s="28" customFormat="1" hidden="1" outlineLevel="1">
      <c r="A196" s="21"/>
      <c r="B196" s="23" t="s">
        <v>62</v>
      </c>
      <c r="C196" s="39" t="s">
        <v>43</v>
      </c>
      <c r="D196" s="123">
        <v>1</v>
      </c>
      <c r="E196" s="25">
        <f>E195</f>
        <v>9444.0999999999985</v>
      </c>
      <c r="F196" s="247"/>
      <c r="G196" s="27"/>
      <c r="H196" s="416"/>
      <c r="I196" s="416"/>
      <c r="J196" s="221"/>
      <c r="K196" s="221"/>
      <c r="L196" s="221"/>
      <c r="M196" s="221"/>
      <c r="N196" s="221"/>
      <c r="O196" s="221"/>
      <c r="P196" s="221"/>
      <c r="Q196" s="407"/>
      <c r="R196" s="153"/>
      <c r="S196" s="153"/>
      <c r="T196" s="153"/>
    </row>
    <row r="197" spans="1:20" s="28" customFormat="1" hidden="1" outlineLevel="1">
      <c r="A197" s="21"/>
      <c r="B197" s="23" t="s">
        <v>46</v>
      </c>
      <c r="C197" s="39" t="s">
        <v>31</v>
      </c>
      <c r="D197" s="123">
        <f>MROUND(E196/(12*40),0.05)</f>
        <v>19.700000000000003</v>
      </c>
      <c r="E197" s="25">
        <v>1</v>
      </c>
      <c r="F197" s="247">
        <f>7500000/26</f>
        <v>288461.53846153844</v>
      </c>
      <c r="G197" s="27">
        <f t="shared" ref="G197:G204" si="33">F197*E197*D197</f>
        <v>5682692.307692308</v>
      </c>
      <c r="H197" s="416"/>
      <c r="I197" s="416"/>
      <c r="J197" s="221"/>
      <c r="K197" s="220"/>
      <c r="L197" s="220"/>
      <c r="M197" s="220"/>
      <c r="N197" s="220"/>
      <c r="O197" s="222"/>
      <c r="P197" s="220"/>
      <c r="Q197" s="407"/>
      <c r="R197" s="153"/>
      <c r="S197" s="153"/>
      <c r="T197" s="153"/>
    </row>
    <row r="198" spans="1:20" s="28" customFormat="1" hidden="1" outlineLevel="1">
      <c r="A198" s="21"/>
      <c r="B198" s="23" t="s">
        <v>63</v>
      </c>
      <c r="C198" s="39" t="s">
        <v>31</v>
      </c>
      <c r="D198" s="123">
        <f>D197</f>
        <v>19.700000000000003</v>
      </c>
      <c r="E198" s="25">
        <v>1</v>
      </c>
      <c r="F198" s="247">
        <f>5000000/26</f>
        <v>192307.69230769231</v>
      </c>
      <c r="G198" s="27">
        <f t="shared" si="33"/>
        <v>3788461.538461539</v>
      </c>
      <c r="H198" s="416"/>
      <c r="I198" s="416"/>
      <c r="J198" s="221"/>
      <c r="K198" s="220"/>
      <c r="L198" s="220"/>
      <c r="M198" s="220"/>
      <c r="N198" s="220"/>
      <c r="O198" s="222"/>
      <c r="P198" s="220"/>
      <c r="Q198" s="407"/>
      <c r="R198" s="153"/>
      <c r="S198" s="153"/>
      <c r="T198" s="153"/>
    </row>
    <row r="199" spans="1:20" s="28" customFormat="1" hidden="1" outlineLevel="1">
      <c r="A199" s="21"/>
      <c r="B199" s="23" t="s">
        <v>47</v>
      </c>
      <c r="C199" s="39" t="s">
        <v>31</v>
      </c>
      <c r="D199" s="123">
        <f>D197</f>
        <v>19.700000000000003</v>
      </c>
      <c r="E199" s="25">
        <f>E197</f>
        <v>1</v>
      </c>
      <c r="F199" s="247">
        <f>8000000/26</f>
        <v>307692.30769230769</v>
      </c>
      <c r="G199" s="27">
        <f t="shared" si="33"/>
        <v>6061538.461538462</v>
      </c>
      <c r="H199" s="416"/>
      <c r="I199" s="416"/>
      <c r="J199" s="221"/>
      <c r="K199" s="222">
        <f>SUM(G197:G204)/E195</f>
        <v>5021.5015547439907</v>
      </c>
      <c r="L199" s="220"/>
      <c r="M199" s="220"/>
      <c r="N199" s="220"/>
      <c r="O199" s="222"/>
      <c r="P199" s="220"/>
      <c r="Q199" s="407"/>
      <c r="R199" s="153"/>
      <c r="S199" s="153"/>
      <c r="T199" s="153"/>
    </row>
    <row r="200" spans="1:20" s="28" customFormat="1" hidden="1" outlineLevel="1">
      <c r="A200" s="21"/>
      <c r="B200" s="23" t="s">
        <v>48</v>
      </c>
      <c r="C200" s="39" t="s">
        <v>31</v>
      </c>
      <c r="D200" s="123">
        <f>D199</f>
        <v>19.700000000000003</v>
      </c>
      <c r="E200" s="25">
        <v>1</v>
      </c>
      <c r="F200" s="247">
        <f>8000000/26</f>
        <v>307692.30769230769</v>
      </c>
      <c r="G200" s="27">
        <f t="shared" si="33"/>
        <v>6061538.461538462</v>
      </c>
      <c r="H200" s="416"/>
      <c r="I200" s="416"/>
      <c r="J200" s="221"/>
      <c r="K200" s="220"/>
      <c r="L200" s="220"/>
      <c r="M200" s="220"/>
      <c r="N200" s="220"/>
      <c r="O200" s="222"/>
      <c r="P200" s="220"/>
      <c r="Q200" s="407"/>
      <c r="R200" s="153"/>
      <c r="S200" s="153"/>
      <c r="T200" s="153"/>
    </row>
    <row r="201" spans="1:20" s="28" customFormat="1" hidden="1" outlineLevel="1">
      <c r="A201" s="21"/>
      <c r="B201" s="23" t="s">
        <v>49</v>
      </c>
      <c r="C201" s="39" t="s">
        <v>50</v>
      </c>
      <c r="D201" s="123">
        <f>D199</f>
        <v>19.700000000000003</v>
      </c>
      <c r="E201" s="25">
        <f>SUM(E197:E200)*100</f>
        <v>400</v>
      </c>
      <c r="F201" s="247">
        <f>1045</f>
        <v>1045</v>
      </c>
      <c r="G201" s="27">
        <f t="shared" si="33"/>
        <v>8234600.0000000009</v>
      </c>
      <c r="H201" s="416"/>
      <c r="I201" s="416"/>
      <c r="J201" s="221"/>
      <c r="K201" s="220"/>
      <c r="L201" s="220"/>
      <c r="M201" s="220"/>
      <c r="N201" s="220"/>
      <c r="O201" s="222"/>
      <c r="P201" s="220"/>
      <c r="Q201" s="407"/>
      <c r="R201" s="153"/>
      <c r="S201" s="153"/>
      <c r="T201" s="153"/>
    </row>
    <row r="202" spans="1:20" s="28" customFormat="1" hidden="1" outlineLevel="1">
      <c r="A202" s="21"/>
      <c r="B202" s="23" t="s">
        <v>51</v>
      </c>
      <c r="C202" s="39" t="s">
        <v>31</v>
      </c>
      <c r="D202" s="123">
        <f>D200</f>
        <v>19.700000000000003</v>
      </c>
      <c r="E202" s="25">
        <v>4</v>
      </c>
      <c r="F202" s="247">
        <f>$F$34</f>
        <v>182648.40182648401</v>
      </c>
      <c r="G202" s="27">
        <f t="shared" si="33"/>
        <v>14392694.063926943</v>
      </c>
      <c r="H202" s="416"/>
      <c r="I202" s="416"/>
      <c r="J202" s="221"/>
      <c r="K202" s="220"/>
      <c r="L202" s="220"/>
      <c r="M202" s="220"/>
      <c r="N202" s="220"/>
      <c r="O202" s="222"/>
      <c r="P202" s="220"/>
      <c r="Q202" s="407"/>
      <c r="R202" s="153"/>
      <c r="S202" s="153"/>
      <c r="T202" s="153"/>
    </row>
    <row r="203" spans="1:20" s="28" customFormat="1" hidden="1" outlineLevel="1">
      <c r="A203" s="21"/>
      <c r="B203" s="59" t="s">
        <v>52</v>
      </c>
      <c r="C203" s="39" t="s">
        <v>15</v>
      </c>
      <c r="D203" s="123">
        <f>D197</f>
        <v>19.700000000000003</v>
      </c>
      <c r="E203" s="25">
        <f>SUM(E197:E200)</f>
        <v>4</v>
      </c>
      <c r="F203" s="247">
        <f>MROUND((300000/176.33)*1.225*12,10)</f>
        <v>25010</v>
      </c>
      <c r="G203" s="27">
        <f t="shared" si="33"/>
        <v>1970788.0000000002</v>
      </c>
      <c r="H203" s="416"/>
      <c r="I203" s="416"/>
      <c r="J203" s="221"/>
      <c r="K203" s="220"/>
      <c r="L203" s="220"/>
      <c r="M203" s="220"/>
      <c r="N203" s="220"/>
      <c r="O203" s="222"/>
      <c r="P203" s="220"/>
      <c r="Q203" s="407"/>
      <c r="R203" s="153"/>
      <c r="S203" s="153"/>
      <c r="T203" s="153"/>
    </row>
    <row r="204" spans="1:20" s="28" customFormat="1" hidden="1" outlineLevel="1">
      <c r="A204" s="21"/>
      <c r="B204" s="59" t="s">
        <v>53</v>
      </c>
      <c r="C204" s="39" t="s">
        <v>15</v>
      </c>
      <c r="D204" s="123">
        <f>D197</f>
        <v>19.700000000000003</v>
      </c>
      <c r="E204" s="25">
        <f>1+E203</f>
        <v>5</v>
      </c>
      <c r="F204" s="247">
        <f>MROUND((150000/176.33)*1.225*12,10)</f>
        <v>12500</v>
      </c>
      <c r="G204" s="27">
        <f t="shared" si="33"/>
        <v>1231250.0000000002</v>
      </c>
      <c r="H204" s="416"/>
      <c r="I204" s="416"/>
      <c r="J204" s="221"/>
      <c r="K204" s="220"/>
      <c r="L204" s="220"/>
      <c r="M204" s="220"/>
      <c r="N204" s="220"/>
      <c r="O204" s="222"/>
      <c r="P204" s="220"/>
      <c r="Q204" s="407"/>
      <c r="R204" s="153"/>
      <c r="S204" s="153"/>
      <c r="T204" s="153"/>
    </row>
    <row r="205" spans="1:20" s="2" customFormat="1" hidden="1" outlineLevel="1">
      <c r="A205" s="60"/>
      <c r="B205" s="61"/>
      <c r="C205" s="62"/>
      <c r="D205" s="123"/>
      <c r="E205" s="18"/>
      <c r="F205" s="247"/>
      <c r="G205" s="64">
        <f>F205*E205</f>
        <v>0</v>
      </c>
      <c r="H205" s="416"/>
      <c r="I205" s="416"/>
      <c r="J205" s="405"/>
      <c r="K205" s="406"/>
      <c r="L205" s="406"/>
      <c r="M205" s="406"/>
      <c r="N205" s="406"/>
      <c r="O205" s="133"/>
      <c r="P205" s="406"/>
      <c r="Q205" s="407"/>
      <c r="R205" s="407"/>
      <c r="S205" s="407"/>
      <c r="T205" s="407"/>
    </row>
    <row r="206" spans="1:20" collapsed="1">
      <c r="A206" s="55">
        <v>202</v>
      </c>
      <c r="B206" s="56" t="s">
        <v>64</v>
      </c>
      <c r="C206" s="57" t="s">
        <v>65</v>
      </c>
      <c r="D206" s="123">
        <v>1</v>
      </c>
      <c r="E206" s="58">
        <f>3000</f>
        <v>3000</v>
      </c>
      <c r="F206" s="247">
        <f>F195</f>
        <v>7310</v>
      </c>
      <c r="G206" s="398" t="str">
        <f>G195</f>
        <v>Pour mémoire</v>
      </c>
      <c r="H206" s="416"/>
      <c r="I206" s="416"/>
      <c r="K206" s="406">
        <f>SUM(G207:G208)/$E206</f>
        <v>0</v>
      </c>
      <c r="L206" s="406">
        <f>K206*$L$16</f>
        <v>0</v>
      </c>
      <c r="M206" s="406">
        <f>K206*$M$16</f>
        <v>0</v>
      </c>
      <c r="N206" s="406">
        <f>SUM(K206:M206)</f>
        <v>0</v>
      </c>
      <c r="O206" s="133">
        <f>N206*$P$5</f>
        <v>0</v>
      </c>
      <c r="P206" s="406">
        <f>O206-N206</f>
        <v>0</v>
      </c>
    </row>
    <row r="207" spans="1:20" s="28" customFormat="1" hidden="1" outlineLevel="1">
      <c r="A207" s="21"/>
      <c r="B207" s="23" t="s">
        <v>66</v>
      </c>
      <c r="C207" s="39" t="s">
        <v>65</v>
      </c>
      <c r="D207" s="123">
        <v>1</v>
      </c>
      <c r="E207" s="25">
        <f>100*100*0.3</f>
        <v>3000</v>
      </c>
      <c r="F207" s="247"/>
      <c r="G207" s="27"/>
      <c r="H207" s="416"/>
      <c r="I207" s="416"/>
      <c r="J207" s="221"/>
      <c r="K207" s="220"/>
      <c r="L207" s="220"/>
      <c r="M207" s="220"/>
      <c r="N207" s="220"/>
      <c r="O207" s="222"/>
      <c r="P207" s="220"/>
      <c r="Q207" s="153"/>
      <c r="R207" s="153"/>
      <c r="S207" s="153"/>
      <c r="T207" s="153"/>
    </row>
    <row r="208" spans="1:20" hidden="1" outlineLevel="1">
      <c r="A208" s="15"/>
      <c r="B208" s="61"/>
      <c r="C208" s="62"/>
      <c r="D208" s="123"/>
      <c r="E208" s="18"/>
      <c r="F208" s="247"/>
      <c r="G208" s="64">
        <f>F208*E208</f>
        <v>0</v>
      </c>
      <c r="H208" s="416"/>
      <c r="I208" s="416"/>
      <c r="K208" s="406"/>
      <c r="L208" s="406"/>
      <c r="M208" s="406"/>
      <c r="N208" s="406"/>
      <c r="O208" s="133"/>
      <c r="P208" s="406"/>
    </row>
    <row r="209" spans="1:20" ht="26.4" collapsed="1">
      <c r="A209" s="55">
        <v>203</v>
      </c>
      <c r="B209" s="16" t="s">
        <v>67</v>
      </c>
      <c r="C209" s="17" t="s">
        <v>65</v>
      </c>
      <c r="D209" s="123">
        <v>1</v>
      </c>
      <c r="E209" s="58">
        <f>3000</f>
        <v>3000</v>
      </c>
      <c r="F209" s="247">
        <f>MROUND(O209,10)</f>
        <v>21860</v>
      </c>
      <c r="G209" s="398" t="str">
        <f>G195</f>
        <v>Pour mémoire</v>
      </c>
      <c r="H209" s="416"/>
      <c r="I209" s="416"/>
      <c r="K209" s="406">
        <f>SUM(G210:G219)/$E209</f>
        <v>15011.737726495725</v>
      </c>
      <c r="L209" s="406">
        <f>K209*$L$16</f>
        <v>1501.1737726495726</v>
      </c>
      <c r="M209" s="406">
        <f>K209*$M$16</f>
        <v>300.23475452991448</v>
      </c>
      <c r="N209" s="406">
        <f>SUM(K209:M209)</f>
        <v>16813.146253675215</v>
      </c>
      <c r="O209" s="133">
        <f>N209*$P$5</f>
        <v>21857.090129777782</v>
      </c>
      <c r="P209" s="406">
        <f>O209-N209</f>
        <v>5043.9438761025667</v>
      </c>
      <c r="Q209" s="222">
        <f>R209/E210</f>
        <v>21860</v>
      </c>
      <c r="R209" s="372">
        <f>F209*E209</f>
        <v>65580000</v>
      </c>
    </row>
    <row r="210" spans="1:20" s="34" customFormat="1" hidden="1" outlineLevel="1">
      <c r="A210" s="36"/>
      <c r="B210" s="23" t="s">
        <v>68</v>
      </c>
      <c r="C210" s="39" t="s">
        <v>43</v>
      </c>
      <c r="D210" s="123">
        <v>1</v>
      </c>
      <c r="E210" s="25">
        <f>3000</f>
        <v>3000</v>
      </c>
      <c r="F210" s="247"/>
      <c r="G210" s="27"/>
      <c r="H210" s="416"/>
      <c r="I210" s="416"/>
      <c r="J210" s="221"/>
      <c r="K210" s="221"/>
      <c r="L210" s="221"/>
      <c r="M210" s="221"/>
      <c r="N210" s="221"/>
      <c r="O210" s="153"/>
      <c r="P210" s="221"/>
      <c r="Q210" s="153"/>
      <c r="R210" s="153"/>
      <c r="S210" s="153"/>
      <c r="T210" s="153"/>
    </row>
    <row r="211" spans="1:20" s="34" customFormat="1" hidden="1" outlineLevel="1">
      <c r="A211" s="36"/>
      <c r="B211" s="23" t="s">
        <v>69</v>
      </c>
      <c r="C211" s="39" t="s">
        <v>31</v>
      </c>
      <c r="D211" s="123">
        <f>MROUND(1.1*E210/(12*40),0.05)</f>
        <v>6.9</v>
      </c>
      <c r="E211" s="25">
        <v>1</v>
      </c>
      <c r="F211" s="247">
        <f>7500000/26</f>
        <v>288461.53846153844</v>
      </c>
      <c r="G211" s="27">
        <f t="shared" ref="G211:G218" si="34">F211*E211*D211</f>
        <v>1990384.6153846153</v>
      </c>
      <c r="H211" s="416"/>
      <c r="I211" s="416"/>
      <c r="J211" s="221"/>
      <c r="K211" s="220"/>
      <c r="L211" s="220"/>
      <c r="M211" s="220"/>
      <c r="N211" s="220"/>
      <c r="O211" s="222"/>
      <c r="P211" s="220"/>
      <c r="Q211" s="153"/>
      <c r="R211" s="153"/>
      <c r="S211" s="153"/>
      <c r="T211" s="153"/>
    </row>
    <row r="212" spans="1:20" s="34" customFormat="1" hidden="1" outlineLevel="1">
      <c r="A212" s="36"/>
      <c r="B212" s="23" t="s">
        <v>63</v>
      </c>
      <c r="C212" s="39" t="s">
        <v>31</v>
      </c>
      <c r="D212" s="123">
        <f>D211</f>
        <v>6.9</v>
      </c>
      <c r="E212" s="25">
        <v>1</v>
      </c>
      <c r="F212" s="247">
        <f>5000000/26</f>
        <v>192307.69230769231</v>
      </c>
      <c r="G212" s="27">
        <f t="shared" si="34"/>
        <v>1326923.076923077</v>
      </c>
      <c r="H212" s="416"/>
      <c r="I212" s="416"/>
      <c r="J212" s="221"/>
      <c r="K212" s="220"/>
      <c r="L212" s="220"/>
      <c r="M212" s="220"/>
      <c r="N212" s="220"/>
      <c r="O212" s="222"/>
      <c r="P212" s="220"/>
      <c r="Q212" s="153"/>
      <c r="R212" s="153"/>
      <c r="S212" s="153"/>
      <c r="T212" s="153"/>
    </row>
    <row r="213" spans="1:20" s="34" customFormat="1" hidden="1" outlineLevel="1">
      <c r="A213" s="36"/>
      <c r="B213" s="23" t="s">
        <v>47</v>
      </c>
      <c r="C213" s="39" t="s">
        <v>31</v>
      </c>
      <c r="D213" s="123">
        <f>D212</f>
        <v>6.9</v>
      </c>
      <c r="E213" s="25">
        <f>E211</f>
        <v>1</v>
      </c>
      <c r="F213" s="247">
        <f>8000000/26</f>
        <v>307692.30769230769</v>
      </c>
      <c r="G213" s="27">
        <f t="shared" si="34"/>
        <v>2123076.923076923</v>
      </c>
      <c r="H213" s="416"/>
      <c r="I213" s="416"/>
      <c r="J213" s="221"/>
      <c r="K213" s="220"/>
      <c r="L213" s="220"/>
      <c r="M213" s="220"/>
      <c r="N213" s="220"/>
      <c r="O213" s="222"/>
      <c r="P213" s="220"/>
      <c r="Q213" s="153"/>
      <c r="R213" s="153"/>
      <c r="S213" s="153"/>
      <c r="T213" s="153"/>
    </row>
    <row r="214" spans="1:20" s="34" customFormat="1" hidden="1" outlineLevel="1">
      <c r="A214" s="36"/>
      <c r="B214" s="23" t="s">
        <v>48</v>
      </c>
      <c r="C214" s="39" t="s">
        <v>31</v>
      </c>
      <c r="D214" s="123">
        <f>D213</f>
        <v>6.9</v>
      </c>
      <c r="E214" s="25">
        <v>1</v>
      </c>
      <c r="F214" s="247">
        <f>8500000/26</f>
        <v>326923.07692307694</v>
      </c>
      <c r="G214" s="27">
        <f t="shared" si="34"/>
        <v>2255769.230769231</v>
      </c>
      <c r="H214" s="416"/>
      <c r="I214" s="416"/>
      <c r="J214" s="221"/>
      <c r="K214" s="220"/>
      <c r="L214" s="220"/>
      <c r="M214" s="220"/>
      <c r="N214" s="220"/>
      <c r="O214" s="222"/>
      <c r="P214" s="220"/>
      <c r="Q214" s="153"/>
      <c r="R214" s="153"/>
      <c r="S214" s="153"/>
      <c r="T214" s="153"/>
    </row>
    <row r="215" spans="1:20" s="34" customFormat="1" hidden="1" outlineLevel="1">
      <c r="A215" s="36"/>
      <c r="B215" s="23" t="s">
        <v>49</v>
      </c>
      <c r="C215" s="39" t="s">
        <v>50</v>
      </c>
      <c r="D215" s="123">
        <f>D213</f>
        <v>6.9</v>
      </c>
      <c r="E215" s="25">
        <f>SUM(E211:E214)*100</f>
        <v>400</v>
      </c>
      <c r="F215" s="247">
        <f>1045</f>
        <v>1045</v>
      </c>
      <c r="G215" s="27">
        <f t="shared" si="34"/>
        <v>2884200</v>
      </c>
      <c r="H215" s="416"/>
      <c r="I215" s="416"/>
      <c r="J215" s="221"/>
      <c r="K215" s="220"/>
      <c r="L215" s="220"/>
      <c r="M215" s="220"/>
      <c r="N215" s="220"/>
      <c r="O215" s="222"/>
      <c r="P215" s="220"/>
      <c r="Q215" s="153"/>
      <c r="R215" s="153"/>
      <c r="S215" s="153"/>
      <c r="T215" s="153"/>
    </row>
    <row r="216" spans="1:20" s="34" customFormat="1" hidden="1" outlineLevel="1">
      <c r="A216" s="36"/>
      <c r="B216" s="23" t="s">
        <v>70</v>
      </c>
      <c r="C216" s="39" t="s">
        <v>31</v>
      </c>
      <c r="D216" s="123">
        <v>1</v>
      </c>
      <c r="E216" s="25">
        <f>ROUNDUP(E210/12,0)</f>
        <v>250</v>
      </c>
      <c r="F216" s="247">
        <f>140000/1.05</f>
        <v>133333.33333333331</v>
      </c>
      <c r="G216" s="27">
        <f t="shared" si="34"/>
        <v>33333333.333333328</v>
      </c>
      <c r="H216" s="416"/>
      <c r="I216" s="416"/>
      <c r="J216" s="221"/>
      <c r="K216" s="220"/>
      <c r="L216" s="220"/>
      <c r="M216" s="220"/>
      <c r="N216" s="220"/>
      <c r="O216" s="222"/>
      <c r="P216" s="220"/>
      <c r="Q216" s="153"/>
      <c r="R216" s="153"/>
      <c r="S216" s="153"/>
      <c r="T216" s="153"/>
    </row>
    <row r="217" spans="1:20" s="34" customFormat="1" hidden="1" outlineLevel="1">
      <c r="A217" s="36"/>
      <c r="B217" s="59" t="s">
        <v>52</v>
      </c>
      <c r="C217" s="39" t="s">
        <v>15</v>
      </c>
      <c r="D217" s="123">
        <f>D211</f>
        <v>6.9</v>
      </c>
      <c r="E217" s="25">
        <f>SUM(E211:E214)</f>
        <v>4</v>
      </c>
      <c r="F217" s="247">
        <f>MROUND((300000/176.33)*1.225*12,10)</f>
        <v>25010</v>
      </c>
      <c r="G217" s="27">
        <f t="shared" si="34"/>
        <v>690276</v>
      </c>
      <c r="H217" s="416"/>
      <c r="I217" s="416"/>
      <c r="J217" s="221"/>
      <c r="K217" s="220"/>
      <c r="L217" s="220"/>
      <c r="M217" s="220"/>
      <c r="N217" s="220"/>
      <c r="O217" s="222"/>
      <c r="P217" s="220"/>
      <c r="Q217" s="153"/>
      <c r="R217" s="153"/>
      <c r="S217" s="153"/>
      <c r="T217" s="153"/>
    </row>
    <row r="218" spans="1:20" s="34" customFormat="1" hidden="1" outlineLevel="1">
      <c r="A218" s="36"/>
      <c r="B218" s="59" t="s">
        <v>53</v>
      </c>
      <c r="C218" s="39" t="s">
        <v>15</v>
      </c>
      <c r="D218" s="123">
        <f>D211</f>
        <v>6.9</v>
      </c>
      <c r="E218" s="25">
        <f>1+E217</f>
        <v>5</v>
      </c>
      <c r="F218" s="247">
        <f>MROUND((150000/176.33)*1.225*12,10)</f>
        <v>12500</v>
      </c>
      <c r="G218" s="27">
        <f t="shared" si="34"/>
        <v>431250</v>
      </c>
      <c r="H218" s="416"/>
      <c r="I218" s="416"/>
      <c r="J218" s="221"/>
      <c r="K218" s="220"/>
      <c r="L218" s="220"/>
      <c r="M218" s="220"/>
      <c r="N218" s="220"/>
      <c r="O218" s="222"/>
      <c r="P218" s="220"/>
      <c r="Q218" s="153"/>
      <c r="R218" s="153"/>
      <c r="S218" s="153"/>
      <c r="T218" s="153"/>
    </row>
    <row r="219" spans="1:20" s="34" customFormat="1" hidden="1" outlineLevel="1">
      <c r="A219" s="36"/>
      <c r="B219" s="23"/>
      <c r="C219" s="39"/>
      <c r="D219" s="123"/>
      <c r="E219" s="25"/>
      <c r="F219" s="247"/>
      <c r="G219" s="27">
        <f>F219*E219</f>
        <v>0</v>
      </c>
      <c r="H219" s="416"/>
      <c r="I219" s="416"/>
      <c r="J219" s="221"/>
      <c r="K219" s="220"/>
      <c r="L219" s="220"/>
      <c r="M219" s="220"/>
      <c r="N219" s="220"/>
      <c r="O219" s="222"/>
      <c r="P219" s="220"/>
      <c r="Q219" s="153"/>
      <c r="R219" s="153"/>
      <c r="S219" s="153"/>
      <c r="T219" s="153"/>
    </row>
    <row r="220" spans="1:20" collapsed="1">
      <c r="A220" s="55">
        <v>204</v>
      </c>
      <c r="B220" s="16" t="s">
        <v>71</v>
      </c>
      <c r="C220" s="17" t="s">
        <v>61</v>
      </c>
      <c r="D220" s="123">
        <v>1</v>
      </c>
      <c r="E220" s="58">
        <v>11668.4</v>
      </c>
      <c r="F220" s="247">
        <f>MROUND(Q209,10)</f>
        <v>21860</v>
      </c>
      <c r="G220" s="398" t="str">
        <f>G209</f>
        <v>Pour mémoire</v>
      </c>
      <c r="H220" s="416"/>
      <c r="I220" s="416"/>
      <c r="K220" s="406">
        <f>SUM(G221:G221)/$E220</f>
        <v>0</v>
      </c>
      <c r="L220" s="406">
        <f>K220*$L$16</f>
        <v>0</v>
      </c>
      <c r="M220" s="406">
        <f>K220*$M$16</f>
        <v>0</v>
      </c>
      <c r="N220" s="406">
        <f>SUM(K220:M220)</f>
        <v>0</v>
      </c>
      <c r="O220" s="133">
        <f>N220*$P$5</f>
        <v>0</v>
      </c>
      <c r="P220" s="406">
        <f>O220-N220</f>
        <v>0</v>
      </c>
    </row>
    <row r="221" spans="1:20" s="28" customFormat="1" hidden="1" outlineLevel="1">
      <c r="A221" s="21"/>
      <c r="B221" s="23" t="s">
        <v>72</v>
      </c>
      <c r="C221" s="39" t="s">
        <v>65</v>
      </c>
      <c r="D221" s="123">
        <v>1</v>
      </c>
      <c r="E221" s="25">
        <f>E220</f>
        <v>11668.4</v>
      </c>
      <c r="F221" s="247"/>
      <c r="G221" s="27"/>
      <c r="H221" s="416"/>
      <c r="I221" s="416"/>
      <c r="J221" s="221"/>
      <c r="K221" s="220"/>
      <c r="L221" s="220"/>
      <c r="M221" s="220"/>
      <c r="N221" s="220"/>
      <c r="O221" s="222"/>
      <c r="P221" s="220"/>
      <c r="Q221" s="153"/>
      <c r="R221" s="153"/>
      <c r="S221" s="153"/>
      <c r="T221" s="153"/>
    </row>
    <row r="222" spans="1:20" hidden="1" outlineLevel="1">
      <c r="A222" s="15"/>
      <c r="B222" s="61"/>
      <c r="C222" s="62"/>
      <c r="D222" s="123"/>
      <c r="E222" s="18"/>
      <c r="F222" s="247"/>
      <c r="G222" s="64">
        <f>F222*E222</f>
        <v>0</v>
      </c>
      <c r="H222" s="416"/>
      <c r="I222" s="416"/>
      <c r="K222" s="406"/>
      <c r="L222" s="406"/>
      <c r="M222" s="406"/>
      <c r="N222" s="406"/>
      <c r="O222" s="133"/>
      <c r="P222" s="406"/>
    </row>
    <row r="223" spans="1:20" collapsed="1">
      <c r="A223" s="55">
        <v>205</v>
      </c>
      <c r="B223" s="16" t="s">
        <v>73</v>
      </c>
      <c r="C223" s="17" t="s">
        <v>74</v>
      </c>
      <c r="D223" s="123">
        <v>1</v>
      </c>
      <c r="E223" s="58">
        <f>23983</f>
        <v>23983</v>
      </c>
      <c r="F223" s="247">
        <f>MROUND(O223,10)</f>
        <v>1610</v>
      </c>
      <c r="G223" s="398" t="str">
        <f>G220</f>
        <v>Pour mémoire</v>
      </c>
      <c r="H223" s="416"/>
      <c r="I223" s="416"/>
      <c r="J223" s="444"/>
      <c r="K223" s="409">
        <f>SUM(G224:G230)/$E223</f>
        <v>1108.6045895317986</v>
      </c>
      <c r="L223" s="409">
        <f>K223*$L$16</f>
        <v>110.86045895317987</v>
      </c>
      <c r="M223" s="409">
        <f>K223*$M$16</f>
        <v>22.172091790635974</v>
      </c>
      <c r="N223" s="409">
        <f>SUM(K223:M223)</f>
        <v>1241.6371402756145</v>
      </c>
      <c r="O223" s="133">
        <f>N223*$P$5</f>
        <v>1614.1282823582987</v>
      </c>
      <c r="P223" s="409">
        <f>O223-N223</f>
        <v>372.49114208268429</v>
      </c>
    </row>
    <row r="224" spans="1:20" s="34" customFormat="1" hidden="1" outlineLevel="1">
      <c r="A224" s="36"/>
      <c r="B224" s="731" t="s">
        <v>75</v>
      </c>
      <c r="C224" s="328" t="s">
        <v>41</v>
      </c>
      <c r="D224" s="733">
        <v>1</v>
      </c>
      <c r="E224" s="734">
        <f>23983</f>
        <v>23983</v>
      </c>
      <c r="F224" s="735"/>
      <c r="G224" s="736"/>
      <c r="H224" s="416"/>
      <c r="I224" s="416"/>
      <c r="J224" s="221"/>
      <c r="K224" s="221"/>
      <c r="L224" s="221"/>
      <c r="M224" s="221"/>
      <c r="N224" s="221"/>
      <c r="O224" s="221"/>
      <c r="P224" s="221"/>
      <c r="Q224" s="153"/>
      <c r="R224" s="153"/>
      <c r="S224" s="153"/>
      <c r="T224" s="153"/>
    </row>
    <row r="225" spans="1:20" s="34" customFormat="1" hidden="1" outlineLevel="1">
      <c r="A225" s="36"/>
      <c r="B225" s="731" t="s">
        <v>47</v>
      </c>
      <c r="C225" s="328" t="s">
        <v>31</v>
      </c>
      <c r="D225" s="733">
        <f>MROUND($E224/1500/E225,0.05)</f>
        <v>16</v>
      </c>
      <c r="E225" s="734">
        <v>1</v>
      </c>
      <c r="F225" s="735">
        <f>8000000/26</f>
        <v>307692.30769230769</v>
      </c>
      <c r="G225" s="736">
        <f t="shared" ref="G225:G230" si="35">F225*E225*D225</f>
        <v>4923076.923076923</v>
      </c>
      <c r="H225" s="416"/>
      <c r="I225" s="416"/>
      <c r="J225" s="221"/>
      <c r="K225" s="220"/>
      <c r="L225" s="220"/>
      <c r="M225" s="220"/>
      <c r="N225" s="220"/>
      <c r="O225" s="222"/>
      <c r="P225" s="220"/>
      <c r="Q225" s="153"/>
      <c r="R225" s="153"/>
      <c r="S225" s="153"/>
      <c r="T225" s="153"/>
    </row>
    <row r="226" spans="1:20" s="34" customFormat="1" hidden="1" outlineLevel="1">
      <c r="A226" s="36"/>
      <c r="B226" s="731" t="s">
        <v>48</v>
      </c>
      <c r="C226" s="328" t="s">
        <v>31</v>
      </c>
      <c r="D226" s="733">
        <f>D225</f>
        <v>16</v>
      </c>
      <c r="E226" s="734">
        <v>1</v>
      </c>
      <c r="F226" s="735">
        <f>8500000/26</f>
        <v>326923.07692307694</v>
      </c>
      <c r="G226" s="736">
        <f t="shared" si="35"/>
        <v>5230769.230769231</v>
      </c>
      <c r="H226" s="416"/>
      <c r="I226" s="416"/>
      <c r="J226" s="221"/>
      <c r="K226" s="220"/>
      <c r="L226" s="220"/>
      <c r="M226" s="220"/>
      <c r="N226" s="220"/>
      <c r="O226" s="222"/>
      <c r="P226" s="220"/>
      <c r="Q226" s="153"/>
      <c r="R226" s="153"/>
      <c r="S226" s="153"/>
      <c r="T226" s="153"/>
    </row>
    <row r="227" spans="1:20" s="34" customFormat="1" hidden="1" outlineLevel="1">
      <c r="A227" s="36"/>
      <c r="B227" s="731" t="s">
        <v>49</v>
      </c>
      <c r="C227" s="328" t="s">
        <v>50</v>
      </c>
      <c r="D227" s="733">
        <f>D225</f>
        <v>16</v>
      </c>
      <c r="E227" s="734">
        <f>SUM(E225:E226)*100</f>
        <v>200</v>
      </c>
      <c r="F227" s="735">
        <f>1045</f>
        <v>1045</v>
      </c>
      <c r="G227" s="736">
        <f t="shared" si="35"/>
        <v>3344000</v>
      </c>
      <c r="H227" s="416"/>
      <c r="I227" s="416"/>
      <c r="J227" s="221"/>
      <c r="K227" s="220"/>
      <c r="L227" s="220"/>
      <c r="M227" s="220"/>
      <c r="N227" s="220"/>
      <c r="O227" s="222"/>
      <c r="P227" s="220"/>
      <c r="Q227" s="153"/>
      <c r="R227" s="153"/>
      <c r="S227" s="153"/>
      <c r="T227" s="153"/>
    </row>
    <row r="228" spans="1:20" s="34" customFormat="1" hidden="1" outlineLevel="1">
      <c r="A228" s="36"/>
      <c r="B228" s="731" t="s">
        <v>51</v>
      </c>
      <c r="C228" s="328" t="s">
        <v>31</v>
      </c>
      <c r="D228" s="733">
        <f>D226</f>
        <v>16</v>
      </c>
      <c r="E228" s="734">
        <v>4</v>
      </c>
      <c r="F228" s="735">
        <f>200000/1.095</f>
        <v>182648.40182648401</v>
      </c>
      <c r="G228" s="736">
        <f t="shared" si="35"/>
        <v>11689497.716894977</v>
      </c>
      <c r="H228" s="416"/>
      <c r="I228" s="416"/>
      <c r="J228" s="221"/>
      <c r="K228" s="220"/>
      <c r="L228" s="220"/>
      <c r="M228" s="220"/>
      <c r="N228" s="220"/>
      <c r="O228" s="222"/>
      <c r="P228" s="220"/>
      <c r="Q228" s="153"/>
      <c r="R228" s="153"/>
      <c r="S228" s="153"/>
      <c r="T228" s="153"/>
    </row>
    <row r="229" spans="1:20" s="34" customFormat="1" hidden="1" outlineLevel="1">
      <c r="A229" s="36"/>
      <c r="B229" s="732" t="s">
        <v>52</v>
      </c>
      <c r="C229" s="328" t="s">
        <v>15</v>
      </c>
      <c r="D229" s="733">
        <f>D225</f>
        <v>16</v>
      </c>
      <c r="E229" s="734">
        <f>SUM(E225:E226)</f>
        <v>2</v>
      </c>
      <c r="F229" s="735">
        <f>MROUND((300000/176.33)*1.225*12,10)</f>
        <v>25010</v>
      </c>
      <c r="G229" s="736">
        <f t="shared" si="35"/>
        <v>800320</v>
      </c>
      <c r="H229" s="416"/>
      <c r="I229" s="416"/>
      <c r="J229" s="221"/>
      <c r="K229" s="220"/>
      <c r="L229" s="220"/>
      <c r="M229" s="220"/>
      <c r="N229" s="220"/>
      <c r="O229" s="222"/>
      <c r="P229" s="220"/>
      <c r="Q229" s="153"/>
      <c r="R229" s="153"/>
      <c r="S229" s="153"/>
      <c r="T229" s="153"/>
    </row>
    <row r="230" spans="1:20" s="34" customFormat="1" hidden="1" outlineLevel="1">
      <c r="A230" s="36"/>
      <c r="B230" s="732" t="s">
        <v>53</v>
      </c>
      <c r="C230" s="328" t="s">
        <v>15</v>
      </c>
      <c r="D230" s="733">
        <f>D225</f>
        <v>16</v>
      </c>
      <c r="E230" s="734">
        <f>1+E229</f>
        <v>3</v>
      </c>
      <c r="F230" s="735">
        <f>MROUND((150000/176.33)*1.225*12,10)</f>
        <v>12500</v>
      </c>
      <c r="G230" s="736">
        <f t="shared" si="35"/>
        <v>600000</v>
      </c>
      <c r="H230" s="416"/>
      <c r="I230" s="416"/>
      <c r="J230" s="221"/>
      <c r="K230" s="220"/>
      <c r="L230" s="220"/>
      <c r="M230" s="220"/>
      <c r="N230" s="220"/>
      <c r="O230" s="222"/>
      <c r="P230" s="220"/>
      <c r="Q230" s="153"/>
      <c r="R230" s="153"/>
      <c r="S230" s="153"/>
      <c r="T230" s="153"/>
    </row>
    <row r="231" spans="1:20" collapsed="1">
      <c r="A231" s="40"/>
      <c r="B231" s="41"/>
      <c r="C231" s="41"/>
      <c r="D231" s="123"/>
      <c r="E231" s="42"/>
      <c r="F231" s="43"/>
      <c r="G231" s="44">
        <f>SUM(G195,G206,G209,G220,G223)</f>
        <v>0</v>
      </c>
      <c r="H231" s="416"/>
      <c r="I231" s="416"/>
      <c r="K231" s="406"/>
      <c r="L231" s="406"/>
      <c r="M231" s="406"/>
      <c r="N231" s="406"/>
      <c r="O231" s="133"/>
      <c r="P231" s="406"/>
    </row>
    <row r="232" spans="1:20">
      <c r="A232" s="45" t="s">
        <v>76</v>
      </c>
      <c r="B232" s="46"/>
      <c r="C232" s="46"/>
      <c r="D232" s="47"/>
      <c r="E232" s="48"/>
      <c r="F232" s="49"/>
      <c r="G232" s="50"/>
      <c r="H232" s="416"/>
      <c r="I232" s="416"/>
      <c r="K232" s="406"/>
      <c r="L232" s="406"/>
      <c r="M232" s="406"/>
      <c r="N232" s="406"/>
      <c r="O232" s="133"/>
      <c r="P232" s="406"/>
    </row>
    <row r="233" spans="1:20">
      <c r="A233" s="51" t="s">
        <v>13</v>
      </c>
      <c r="B233" s="52" t="s">
        <v>14</v>
      </c>
      <c r="C233" s="52" t="s">
        <v>15</v>
      </c>
      <c r="D233" s="123"/>
      <c r="E233" s="53" t="s">
        <v>17</v>
      </c>
      <c r="F233" s="54"/>
      <c r="G233" s="20"/>
      <c r="H233" s="416"/>
      <c r="I233" s="416"/>
      <c r="K233" s="406"/>
      <c r="L233" s="406"/>
      <c r="M233" s="406"/>
      <c r="N233" s="406"/>
      <c r="O233" s="133"/>
      <c r="P233" s="406"/>
    </row>
    <row r="234" spans="1:20">
      <c r="A234" s="55">
        <v>301</v>
      </c>
      <c r="B234" s="341" t="s">
        <v>77</v>
      </c>
      <c r="C234" s="57" t="s">
        <v>61</v>
      </c>
      <c r="D234" s="123">
        <v>1</v>
      </c>
      <c r="E234" s="58">
        <v>5372.3</v>
      </c>
      <c r="F234" s="22">
        <f>MROUND(O234,10)</f>
        <v>22670</v>
      </c>
      <c r="G234" s="398" t="s">
        <v>659</v>
      </c>
      <c r="H234" s="416"/>
      <c r="I234" s="416"/>
      <c r="K234" s="406">
        <f>SUM(G235:G243)/$E234</f>
        <v>14459.027147321374</v>
      </c>
      <c r="L234" s="406">
        <f>K234*$L$16</f>
        <v>1445.9027147321376</v>
      </c>
      <c r="M234" s="406">
        <f>K234*$M$16</f>
        <v>289.18054294642747</v>
      </c>
      <c r="N234" s="406">
        <f>SUM(K234:M234)</f>
        <v>16194.110404999939</v>
      </c>
      <c r="O234" s="133">
        <f>N234*$Q$5</f>
        <v>22671.754566999913</v>
      </c>
      <c r="P234" s="406">
        <f>O234-N234</f>
        <v>6477.6441619999732</v>
      </c>
    </row>
    <row r="235" spans="1:20" s="34" customFormat="1" hidden="1" outlineLevel="1">
      <c r="A235" s="36"/>
      <c r="B235" s="23" t="s">
        <v>78</v>
      </c>
      <c r="C235" s="39"/>
      <c r="D235" s="123">
        <f>MROUND(E234/(12*30),0.05)</f>
        <v>14.9</v>
      </c>
      <c r="E235" s="25"/>
      <c r="F235" s="26"/>
      <c r="G235" s="27"/>
      <c r="H235" s="416"/>
      <c r="I235" s="416"/>
      <c r="J235" s="221"/>
      <c r="K235" s="221">
        <f>E234/0.5</f>
        <v>10744.6</v>
      </c>
      <c r="L235" s="221">
        <f>K235/7</f>
        <v>1534.9428571428573</v>
      </c>
      <c r="M235" s="221"/>
      <c r="N235" s="221"/>
      <c r="O235" s="221"/>
      <c r="P235" s="221"/>
      <c r="Q235" s="153"/>
      <c r="R235" s="153"/>
      <c r="S235" s="153"/>
      <c r="T235" s="153"/>
    </row>
    <row r="236" spans="1:20" s="34" customFormat="1" hidden="1" outlineLevel="1">
      <c r="A236" s="36"/>
      <c r="B236" s="23" t="s">
        <v>79</v>
      </c>
      <c r="C236" s="39" t="s">
        <v>31</v>
      </c>
      <c r="D236" s="123">
        <f>D235/E236</f>
        <v>7.45</v>
      </c>
      <c r="E236" s="25">
        <v>2</v>
      </c>
      <c r="F236" s="26">
        <f>7500000/26</f>
        <v>288461.53846153844</v>
      </c>
      <c r="G236" s="27">
        <f>F236*E236*D236</f>
        <v>4298076.923076923</v>
      </c>
      <c r="H236" s="416"/>
      <c r="I236" s="416"/>
      <c r="J236" s="221"/>
      <c r="K236" s="220"/>
      <c r="L236" s="220"/>
      <c r="M236" s="220"/>
      <c r="N236" s="220"/>
      <c r="O236" s="222"/>
      <c r="P236" s="220"/>
      <c r="Q236" s="153"/>
      <c r="R236" s="153"/>
      <c r="S236" s="153"/>
      <c r="T236" s="153"/>
    </row>
    <row r="237" spans="1:20" s="34" customFormat="1" hidden="1" outlineLevel="1">
      <c r="A237" s="36"/>
      <c r="B237" s="23" t="s">
        <v>63</v>
      </c>
      <c r="C237" s="39" t="s">
        <v>31</v>
      </c>
      <c r="D237" s="123">
        <f>D236</f>
        <v>7.45</v>
      </c>
      <c r="E237" s="25">
        <v>1</v>
      </c>
      <c r="F237" s="26">
        <f>5000000/26</f>
        <v>192307.69230769231</v>
      </c>
      <c r="G237" s="27">
        <f>F237*E237*D237</f>
        <v>1432692.3076923077</v>
      </c>
      <c r="H237" s="416"/>
      <c r="I237" s="416"/>
      <c r="J237" s="221"/>
      <c r="K237" s="220"/>
      <c r="L237" s="220"/>
      <c r="M237" s="220"/>
      <c r="N237" s="220"/>
      <c r="O237" s="222"/>
      <c r="P237" s="220"/>
      <c r="Q237" s="153"/>
      <c r="R237" s="153"/>
      <c r="S237" s="153"/>
      <c r="T237" s="153"/>
    </row>
    <row r="238" spans="1:20" s="34" customFormat="1" hidden="1" outlineLevel="1">
      <c r="A238" s="36"/>
      <c r="B238" s="23" t="s">
        <v>49</v>
      </c>
      <c r="C238" s="39" t="s">
        <v>50</v>
      </c>
      <c r="D238" s="123">
        <f>D236</f>
        <v>7.45</v>
      </c>
      <c r="E238" s="25">
        <f>SUM(E236:E237)*100</f>
        <v>300</v>
      </c>
      <c r="F238" s="26">
        <f>1045</f>
        <v>1045</v>
      </c>
      <c r="G238" s="27">
        <f>F238*E238*D238</f>
        <v>2335575</v>
      </c>
      <c r="H238" s="416"/>
      <c r="I238" s="416"/>
      <c r="J238" s="221"/>
      <c r="K238" s="220"/>
      <c r="L238" s="220"/>
      <c r="M238" s="220"/>
      <c r="N238" s="220"/>
      <c r="O238" s="222"/>
      <c r="P238" s="220"/>
      <c r="Q238" s="153"/>
      <c r="R238" s="153"/>
      <c r="S238" s="153"/>
      <c r="T238" s="153"/>
    </row>
    <row r="239" spans="1:20" s="34" customFormat="1" hidden="1" outlineLevel="1">
      <c r="A239" s="36"/>
      <c r="B239" s="23" t="s">
        <v>80</v>
      </c>
      <c r="C239" s="39" t="s">
        <v>31</v>
      </c>
      <c r="D239" s="123">
        <v>1</v>
      </c>
      <c r="E239" s="25">
        <f>ROUNDUP(E234/12,0)</f>
        <v>448</v>
      </c>
      <c r="F239" s="26">
        <f>140000/1.095</f>
        <v>127853.88127853881</v>
      </c>
      <c r="G239" s="27">
        <f>F239*D239*E239</f>
        <v>57278538.812785387</v>
      </c>
      <c r="H239" s="416"/>
      <c r="I239" s="416"/>
      <c r="J239" s="221"/>
      <c r="K239" s="220"/>
      <c r="L239" s="220"/>
      <c r="M239" s="220"/>
      <c r="N239" s="220"/>
      <c r="O239" s="222"/>
      <c r="P239" s="220"/>
      <c r="Q239" s="153"/>
      <c r="R239" s="153"/>
      <c r="S239" s="153"/>
      <c r="T239" s="153"/>
    </row>
    <row r="240" spans="1:20" s="34" customFormat="1" hidden="1" outlineLevel="1">
      <c r="A240" s="36"/>
      <c r="B240" s="23" t="s">
        <v>81</v>
      </c>
      <c r="C240" s="39" t="s">
        <v>82</v>
      </c>
      <c r="D240" s="123">
        <v>1</v>
      </c>
      <c r="E240" s="25">
        <f>ROUNDUP(1+(E234/0.5)/1080,0)</f>
        <v>11</v>
      </c>
      <c r="F240" s="26">
        <f>1045000</f>
        <v>1045000</v>
      </c>
      <c r="G240" s="27">
        <f>F240*D240*E240</f>
        <v>11495000</v>
      </c>
      <c r="H240" s="416"/>
      <c r="I240" s="416"/>
      <c r="J240" s="221"/>
      <c r="K240" s="220"/>
      <c r="L240" s="220"/>
      <c r="M240" s="220"/>
      <c r="N240" s="220"/>
      <c r="O240" s="222"/>
      <c r="P240" s="220"/>
      <c r="Q240" s="153"/>
      <c r="R240" s="153"/>
      <c r="S240" s="153"/>
      <c r="T240" s="153"/>
    </row>
    <row r="241" spans="1:20" s="34" customFormat="1" hidden="1" outlineLevel="1">
      <c r="A241" s="36"/>
      <c r="B241" s="59" t="s">
        <v>52</v>
      </c>
      <c r="C241" s="39" t="s">
        <v>15</v>
      </c>
      <c r="D241" s="123">
        <f>D238</f>
        <v>7.45</v>
      </c>
      <c r="E241" s="25">
        <f>SUM(E236:E237)</f>
        <v>3</v>
      </c>
      <c r="F241" s="26">
        <f>MROUND((300000/176.33)*1.225*12,10)</f>
        <v>25010</v>
      </c>
      <c r="G241" s="27">
        <f>F241*E241*D241</f>
        <v>558973.5</v>
      </c>
      <c r="H241" s="416"/>
      <c r="I241" s="416"/>
      <c r="J241" s="221"/>
      <c r="K241" s="220"/>
      <c r="L241" s="220"/>
      <c r="M241" s="220"/>
      <c r="N241" s="220"/>
      <c r="O241" s="222"/>
      <c r="P241" s="220"/>
      <c r="Q241" s="153"/>
      <c r="R241" s="153"/>
      <c r="S241" s="153"/>
      <c r="T241" s="153"/>
    </row>
    <row r="242" spans="1:20" s="34" customFormat="1" hidden="1" outlineLevel="1">
      <c r="A242" s="36"/>
      <c r="B242" s="59" t="s">
        <v>53</v>
      </c>
      <c r="C242" s="39" t="s">
        <v>15</v>
      </c>
      <c r="D242" s="123">
        <f>D241</f>
        <v>7.45</v>
      </c>
      <c r="E242" s="25">
        <f>E241</f>
        <v>3</v>
      </c>
      <c r="F242" s="26">
        <f>MROUND((150000/176.33)*1.225*12,10)</f>
        <v>12500</v>
      </c>
      <c r="G242" s="27">
        <f>F242*E242*D242</f>
        <v>279375</v>
      </c>
      <c r="H242" s="416"/>
      <c r="I242" s="416"/>
      <c r="J242" s="221"/>
      <c r="K242" s="220"/>
      <c r="L242" s="220"/>
      <c r="M242" s="220"/>
      <c r="N242" s="220"/>
      <c r="O242" s="222"/>
      <c r="P242" s="220"/>
      <c r="Q242" s="153"/>
      <c r="R242" s="153"/>
      <c r="S242" s="153"/>
      <c r="T242" s="153"/>
    </row>
    <row r="243" spans="1:20" hidden="1" outlineLevel="1">
      <c r="A243" s="15"/>
      <c r="B243" s="61"/>
      <c r="C243" s="62"/>
      <c r="D243" s="123"/>
      <c r="E243" s="18"/>
      <c r="F243" s="63"/>
      <c r="G243" s="64">
        <f>F243*E243</f>
        <v>0</v>
      </c>
      <c r="H243" s="416"/>
      <c r="I243" s="416"/>
      <c r="K243" s="406"/>
      <c r="L243" s="406"/>
      <c r="M243" s="406"/>
      <c r="N243" s="406"/>
      <c r="O243" s="133"/>
      <c r="P243" s="406"/>
    </row>
    <row r="244" spans="1:20" ht="25.8" collapsed="1">
      <c r="A244" s="55">
        <v>302</v>
      </c>
      <c r="B244" s="56" t="s">
        <v>83</v>
      </c>
      <c r="C244" s="57" t="s">
        <v>61</v>
      </c>
      <c r="D244" s="123">
        <v>1</v>
      </c>
      <c r="E244" s="58">
        <f>(J244/0.05)*0.2</f>
        <v>3472.4</v>
      </c>
      <c r="F244" s="22">
        <f>MROUND(O244,10)</f>
        <v>53010</v>
      </c>
      <c r="G244" s="398" t="s">
        <v>659</v>
      </c>
      <c r="H244" s="416"/>
      <c r="I244" s="416"/>
      <c r="J244" s="129">
        <v>868.1</v>
      </c>
      <c r="K244" s="406">
        <f>SUM(G245:G253)/$E244</f>
        <v>33805.345460133474</v>
      </c>
      <c r="L244" s="406">
        <f>K244*$L$16</f>
        <v>3380.5345460133476</v>
      </c>
      <c r="M244" s="406">
        <f>K244*$M$16</f>
        <v>676.1069092026695</v>
      </c>
      <c r="N244" s="406">
        <f>SUM(K244:M244)</f>
        <v>37861.986915349487</v>
      </c>
      <c r="O244" s="133">
        <f>N244*$Q$5</f>
        <v>53006.781681489279</v>
      </c>
      <c r="P244" s="406">
        <f>O244-N244</f>
        <v>15144.794766139792</v>
      </c>
      <c r="Q244" s="464">
        <f>J244/0.05</f>
        <v>17362</v>
      </c>
    </row>
    <row r="245" spans="1:20" s="34" customFormat="1" hidden="1" outlineLevel="1">
      <c r="A245" s="36"/>
      <c r="B245" s="23" t="s">
        <v>84</v>
      </c>
      <c r="C245" s="39" t="s">
        <v>85</v>
      </c>
      <c r="D245" s="123">
        <v>1</v>
      </c>
      <c r="E245" s="25">
        <f>(E244*1.85)</f>
        <v>6423.9400000000005</v>
      </c>
      <c r="F245" s="26">
        <f>16500</f>
        <v>16500</v>
      </c>
      <c r="G245" s="27">
        <f>F245*E245*D245</f>
        <v>105995010.00000001</v>
      </c>
      <c r="H245" s="416"/>
      <c r="I245" s="416"/>
      <c r="J245" s="221"/>
      <c r="K245" s="220"/>
      <c r="L245" s="220"/>
      <c r="M245" s="220"/>
      <c r="N245" s="220"/>
      <c r="O245" s="222"/>
      <c r="P245" s="220"/>
      <c r="Q245" s="153"/>
      <c r="R245" s="153"/>
      <c r="S245" s="153"/>
      <c r="T245" s="153"/>
    </row>
    <row r="246" spans="1:20" s="34" customFormat="1" hidden="1" outlineLevel="1">
      <c r="A246" s="36"/>
      <c r="B246" s="23" t="s">
        <v>86</v>
      </c>
      <c r="C246" s="39" t="s">
        <v>43</v>
      </c>
      <c r="D246" s="123">
        <f>E244/0.2</f>
        <v>17362</v>
      </c>
      <c r="E246" s="25"/>
      <c r="F246" s="26"/>
      <c r="G246" s="27"/>
      <c r="H246" s="416"/>
      <c r="I246" s="416"/>
      <c r="J246" s="221"/>
      <c r="K246" s="220">
        <f>1500*0.2</f>
        <v>300</v>
      </c>
      <c r="L246" s="220"/>
      <c r="M246" s="220"/>
      <c r="N246" s="220"/>
      <c r="O246" s="222"/>
      <c r="P246" s="220"/>
      <c r="Q246" s="153"/>
      <c r="R246" s="153"/>
      <c r="S246" s="153"/>
      <c r="T246" s="153"/>
    </row>
    <row r="247" spans="1:20" s="34" customFormat="1" hidden="1" outlineLevel="1">
      <c r="A247" s="36"/>
      <c r="B247" s="23" t="s">
        <v>87</v>
      </c>
      <c r="C247" s="39" t="s">
        <v>31</v>
      </c>
      <c r="D247" s="123">
        <f>D246/1000/E247</f>
        <v>8.6809999999999992</v>
      </c>
      <c r="E247" s="25">
        <v>2</v>
      </c>
      <c r="F247" s="26">
        <f>8500000/26</f>
        <v>326923.07692307694</v>
      </c>
      <c r="G247" s="27">
        <f t="shared" ref="G247:G252" si="36">F247*D247*E247</f>
        <v>5676038.461538461</v>
      </c>
      <c r="H247" s="416"/>
      <c r="I247" s="416"/>
      <c r="J247" s="221"/>
      <c r="K247" s="220"/>
      <c r="L247" s="220"/>
      <c r="M247" s="220"/>
      <c r="N247" s="220"/>
      <c r="O247" s="222"/>
      <c r="P247" s="220"/>
      <c r="Q247" s="153"/>
      <c r="R247" s="153"/>
      <c r="S247" s="153"/>
      <c r="T247" s="153"/>
    </row>
    <row r="248" spans="1:20" s="34" customFormat="1" hidden="1" outlineLevel="1">
      <c r="A248" s="36"/>
      <c r="B248" s="23" t="s">
        <v>63</v>
      </c>
      <c r="C248" s="39" t="s">
        <v>31</v>
      </c>
      <c r="D248" s="123">
        <f>D247</f>
        <v>8.6809999999999992</v>
      </c>
      <c r="E248" s="25">
        <v>1</v>
      </c>
      <c r="F248" s="26">
        <f>5000000/26</f>
        <v>192307.69230769231</v>
      </c>
      <c r="G248" s="27">
        <f t="shared" si="36"/>
        <v>1669423.0769230768</v>
      </c>
      <c r="H248" s="416"/>
      <c r="I248" s="416"/>
      <c r="J248" s="221"/>
      <c r="K248" s="220"/>
      <c r="L248" s="220"/>
      <c r="M248" s="220"/>
      <c r="N248" s="220"/>
      <c r="O248" s="222"/>
      <c r="P248" s="220"/>
      <c r="Q248" s="153"/>
      <c r="R248" s="153"/>
      <c r="S248" s="153"/>
      <c r="T248" s="153"/>
    </row>
    <row r="249" spans="1:20" s="34" customFormat="1" hidden="1" outlineLevel="1">
      <c r="A249" s="36"/>
      <c r="B249" s="23" t="s">
        <v>49</v>
      </c>
      <c r="C249" s="39" t="s">
        <v>50</v>
      </c>
      <c r="D249" s="123">
        <f>D247</f>
        <v>8.6809999999999992</v>
      </c>
      <c r="E249" s="25">
        <f>SUM(E247:E248)*100</f>
        <v>300</v>
      </c>
      <c r="F249" s="26">
        <f>1045</f>
        <v>1045</v>
      </c>
      <c r="G249" s="27">
        <f t="shared" si="36"/>
        <v>2721493.4999999995</v>
      </c>
      <c r="H249" s="416"/>
      <c r="I249" s="416"/>
      <c r="J249" s="221"/>
      <c r="K249" s="220"/>
      <c r="L249" s="220"/>
      <c r="M249" s="220"/>
      <c r="N249" s="220"/>
      <c r="O249" s="222"/>
      <c r="P249" s="220"/>
      <c r="Q249" s="153"/>
      <c r="R249" s="153"/>
      <c r="S249" s="153"/>
      <c r="T249" s="153"/>
    </row>
    <row r="250" spans="1:20" s="34" customFormat="1" hidden="1" outlineLevel="1">
      <c r="A250" s="36"/>
      <c r="B250" s="23" t="s">
        <v>88</v>
      </c>
      <c r="C250" s="39" t="s">
        <v>89</v>
      </c>
      <c r="D250" s="123">
        <f>D247</f>
        <v>8.6809999999999992</v>
      </c>
      <c r="E250" s="25">
        <v>3</v>
      </c>
      <c r="F250" s="26">
        <f>$F$274</f>
        <v>13318.112633181127</v>
      </c>
      <c r="G250" s="27">
        <f t="shared" si="36"/>
        <v>346843.60730593605</v>
      </c>
      <c r="H250" s="416"/>
      <c r="I250" s="416"/>
      <c r="J250" s="221"/>
      <c r="K250" s="220"/>
      <c r="L250" s="220"/>
      <c r="M250" s="220"/>
      <c r="N250" s="220"/>
      <c r="O250" s="222"/>
      <c r="P250" s="220"/>
      <c r="Q250" s="153"/>
      <c r="R250" s="153"/>
      <c r="S250" s="153"/>
      <c r="T250" s="153"/>
    </row>
    <row r="251" spans="1:20" s="34" customFormat="1" hidden="1" outlineLevel="1">
      <c r="A251" s="36"/>
      <c r="B251" s="59" t="s">
        <v>52</v>
      </c>
      <c r="C251" s="39" t="s">
        <v>15</v>
      </c>
      <c r="D251" s="123">
        <f>D249</f>
        <v>8.6809999999999992</v>
      </c>
      <c r="E251" s="25">
        <f>SUM(E247:E248)</f>
        <v>3</v>
      </c>
      <c r="F251" s="26">
        <f>MROUND((300000/176.33)*1.225*12,10)</f>
        <v>25010</v>
      </c>
      <c r="G251" s="27">
        <f t="shared" si="36"/>
        <v>651335.42999999993</v>
      </c>
      <c r="H251" s="416"/>
      <c r="I251" s="416"/>
      <c r="J251" s="221"/>
      <c r="K251" s="220"/>
      <c r="L251" s="220"/>
      <c r="M251" s="220"/>
      <c r="N251" s="220"/>
      <c r="O251" s="222"/>
      <c r="P251" s="220"/>
      <c r="Q251" s="153"/>
      <c r="R251" s="153"/>
      <c r="S251" s="153"/>
      <c r="T251" s="153"/>
    </row>
    <row r="252" spans="1:20" s="34" customFormat="1" hidden="1" outlineLevel="1">
      <c r="A252" s="36"/>
      <c r="B252" s="59" t="s">
        <v>53</v>
      </c>
      <c r="C252" s="39" t="s">
        <v>15</v>
      </c>
      <c r="D252" s="123">
        <f>D251</f>
        <v>8.6809999999999992</v>
      </c>
      <c r="E252" s="25">
        <f>E251</f>
        <v>3</v>
      </c>
      <c r="F252" s="26">
        <f>MROUND((150000/176.33)*1.225*12,10)</f>
        <v>12500</v>
      </c>
      <c r="G252" s="27">
        <f t="shared" si="36"/>
        <v>325537.49999999994</v>
      </c>
      <c r="H252" s="416"/>
      <c r="I252" s="416"/>
      <c r="J252" s="221"/>
      <c r="K252" s="220"/>
      <c r="L252" s="220"/>
      <c r="M252" s="220"/>
      <c r="N252" s="220"/>
      <c r="O252" s="222"/>
      <c r="P252" s="220"/>
      <c r="Q252" s="153"/>
      <c r="R252" s="153"/>
      <c r="S252" s="153"/>
      <c r="T252" s="153"/>
    </row>
    <row r="253" spans="1:20" s="34" customFormat="1" hidden="1" outlineLevel="1">
      <c r="A253" s="36"/>
      <c r="B253" s="23"/>
      <c r="C253" s="39"/>
      <c r="D253" s="123"/>
      <c r="E253" s="25"/>
      <c r="F253" s="26"/>
      <c r="G253" s="27">
        <f>F253*E253</f>
        <v>0</v>
      </c>
      <c r="H253" s="416"/>
      <c r="I253" s="416"/>
      <c r="J253" s="221"/>
      <c r="K253" s="220"/>
      <c r="L253" s="220"/>
      <c r="M253" s="220"/>
      <c r="N253" s="220"/>
      <c r="O253" s="222"/>
      <c r="P253" s="220" t="s">
        <v>90</v>
      </c>
      <c r="Q253" s="465">
        <f>Q254/AVERAGE(3,7,7,7,7,7,6)</f>
        <v>1756.3636363636365</v>
      </c>
      <c r="R253" s="153"/>
      <c r="S253" s="153"/>
      <c r="T253" s="153"/>
    </row>
    <row r="254" spans="1:20" collapsed="1">
      <c r="A254" s="55">
        <v>303</v>
      </c>
      <c r="B254" s="56" t="s">
        <v>91</v>
      </c>
      <c r="C254" s="57" t="s">
        <v>61</v>
      </c>
      <c r="D254" s="123">
        <v>1</v>
      </c>
      <c r="E254" s="58">
        <f>1656</f>
        <v>1656</v>
      </c>
      <c r="F254" s="22">
        <f>MROUND(O254,10)</f>
        <v>339590</v>
      </c>
      <c r="G254" s="398" t="s">
        <v>659</v>
      </c>
      <c r="H254" s="416"/>
      <c r="I254" s="416"/>
      <c r="K254" s="406">
        <f>SUM(G255:G265)/$E254</f>
        <v>216575.72484238108</v>
      </c>
      <c r="L254" s="406">
        <f>K254*$L$16</f>
        <v>21657.57248423811</v>
      </c>
      <c r="M254" s="406">
        <f>K254*$M$16</f>
        <v>4331.5144968476216</v>
      </c>
      <c r="N254" s="406">
        <f>SUM(K254:M254)</f>
        <v>242564.81182346679</v>
      </c>
      <c r="O254" s="133">
        <f>N254*$Q$5</f>
        <v>339590.73655285349</v>
      </c>
      <c r="P254" s="406">
        <f>O254-N254</f>
        <v>97025.924729386694</v>
      </c>
      <c r="Q254" s="407">
        <f>E254/0.15</f>
        <v>11040</v>
      </c>
      <c r="R254" s="466">
        <f>Q254/AVERAGE(7,7,7,7,6,6,3,6)</f>
        <v>1802.4489795918366</v>
      </c>
    </row>
    <row r="255" spans="1:20" s="34" customFormat="1" hidden="1" outlineLevel="1">
      <c r="A255" s="36"/>
      <c r="B255" s="23" t="s">
        <v>92</v>
      </c>
      <c r="C255" s="39" t="s">
        <v>65</v>
      </c>
      <c r="D255" s="123">
        <v>1</v>
      </c>
      <c r="E255" s="25">
        <f>E254</f>
        <v>1656</v>
      </c>
      <c r="F255" s="26">
        <f>120000</f>
        <v>120000</v>
      </c>
      <c r="G255" s="27">
        <f>F255*E255*D255</f>
        <v>198720000</v>
      </c>
      <c r="H255" s="416"/>
      <c r="I255" s="416"/>
      <c r="J255" s="523">
        <f>1593*7*0.15</f>
        <v>1672.6499999999999</v>
      </c>
      <c r="K255" s="220"/>
      <c r="L255" s="220"/>
      <c r="M255" s="220"/>
      <c r="N255" s="220"/>
      <c r="O255" s="222"/>
      <c r="P255" s="220"/>
      <c r="Q255" s="153">
        <f>Q254/AVERAGE(3,7,7,7,7,7,7,6)</f>
        <v>1731.7647058823529</v>
      </c>
      <c r="R255" s="153"/>
      <c r="S255" s="153"/>
      <c r="T255" s="153"/>
    </row>
    <row r="256" spans="1:20" s="34" customFormat="1" hidden="1" outlineLevel="1">
      <c r="A256" s="36"/>
      <c r="B256" s="23" t="s">
        <v>93</v>
      </c>
      <c r="C256" s="39" t="s">
        <v>94</v>
      </c>
      <c r="D256" s="123">
        <f>1</f>
        <v>1</v>
      </c>
      <c r="E256" s="25">
        <f>E255*55</f>
        <v>91080</v>
      </c>
      <c r="F256" s="26">
        <v>800</v>
      </c>
      <c r="G256" s="27">
        <f t="shared" ref="G256:G264" si="37">F256*D256*E256</f>
        <v>72864000</v>
      </c>
      <c r="H256" s="416"/>
      <c r="I256" s="416"/>
      <c r="J256" s="221"/>
      <c r="K256" s="220"/>
      <c r="L256" s="220"/>
      <c r="M256" s="220"/>
      <c r="N256" s="220"/>
      <c r="O256" s="222"/>
      <c r="P256" s="220"/>
      <c r="Q256" s="153"/>
      <c r="R256" s="153"/>
      <c r="S256" s="153"/>
      <c r="T256" s="153"/>
    </row>
    <row r="257" spans="1:20" s="34" customFormat="1" hidden="1" outlineLevel="1">
      <c r="A257" s="36"/>
      <c r="B257" s="23" t="s">
        <v>95</v>
      </c>
      <c r="C257" s="39" t="s">
        <v>94</v>
      </c>
      <c r="D257" s="123">
        <f>1</f>
        <v>1</v>
      </c>
      <c r="E257" s="25">
        <f>MROUND(E256*2%,5)</f>
        <v>1820</v>
      </c>
      <c r="F257" s="26">
        <f>1400</f>
        <v>1400</v>
      </c>
      <c r="G257" s="27">
        <f t="shared" si="37"/>
        <v>2548000</v>
      </c>
      <c r="H257" s="416"/>
      <c r="I257" s="416"/>
      <c r="J257" s="221"/>
      <c r="K257" s="220"/>
      <c r="L257" s="220"/>
      <c r="M257" s="220"/>
      <c r="N257" s="220"/>
      <c r="O257" s="222"/>
      <c r="P257" s="220"/>
      <c r="Q257" s="153"/>
      <c r="R257" s="153"/>
      <c r="S257" s="153"/>
      <c r="T257" s="153"/>
    </row>
    <row r="258" spans="1:20" s="34" customFormat="1" hidden="1" outlineLevel="1">
      <c r="A258" s="36"/>
      <c r="B258" s="23" t="s">
        <v>96</v>
      </c>
      <c r="C258" s="39" t="s">
        <v>31</v>
      </c>
      <c r="D258" s="123">
        <f>1</f>
        <v>1</v>
      </c>
      <c r="E258" s="25">
        <f>MROUND(E254/100,1)</f>
        <v>17</v>
      </c>
      <c r="F258" s="26">
        <f>180000/1.18</f>
        <v>152542.37288135593</v>
      </c>
      <c r="G258" s="27">
        <f t="shared" si="37"/>
        <v>2593220.3389830505</v>
      </c>
      <c r="H258" s="416"/>
      <c r="I258" s="416"/>
      <c r="J258" s="221"/>
      <c r="K258" s="220"/>
      <c r="L258" s="220"/>
      <c r="M258" s="220"/>
      <c r="N258" s="220"/>
      <c r="O258" s="222"/>
      <c r="P258" s="220"/>
      <c r="Q258" s="153"/>
      <c r="R258" s="153"/>
      <c r="S258" s="153"/>
      <c r="T258" s="153"/>
    </row>
    <row r="259" spans="1:20" s="34" customFormat="1" ht="22.8" hidden="1" outlineLevel="1">
      <c r="A259" s="36"/>
      <c r="B259" s="23" t="s">
        <v>97</v>
      </c>
      <c r="C259" s="39" t="s">
        <v>89</v>
      </c>
      <c r="D259" s="123">
        <f>ROUNDUP(($E$254/60)+14,0)</f>
        <v>42</v>
      </c>
      <c r="E259" s="25">
        <v>3</v>
      </c>
      <c r="F259" s="26">
        <f>$F$274</f>
        <v>13318.112633181127</v>
      </c>
      <c r="G259" s="27">
        <f t="shared" si="37"/>
        <v>1678082.1917808219</v>
      </c>
      <c r="H259" s="416"/>
      <c r="I259" s="416"/>
      <c r="J259" s="221"/>
      <c r="K259" s="220"/>
      <c r="L259" s="220"/>
      <c r="M259" s="220"/>
      <c r="N259" s="220"/>
      <c r="O259" s="222"/>
      <c r="P259" s="220"/>
      <c r="Q259" s="153"/>
      <c r="R259" s="153"/>
      <c r="S259" s="153"/>
      <c r="T259" s="153"/>
    </row>
    <row r="260" spans="1:20" s="34" customFormat="1" hidden="1" outlineLevel="1">
      <c r="A260" s="36"/>
      <c r="B260" s="23" t="s">
        <v>98</v>
      </c>
      <c r="C260" s="39" t="s">
        <v>31</v>
      </c>
      <c r="D260" s="123">
        <f>D259</f>
        <v>42</v>
      </c>
      <c r="E260" s="25">
        <v>1</v>
      </c>
      <c r="F260" s="26">
        <f>230000/1.095</f>
        <v>210045.66210045663</v>
      </c>
      <c r="G260" s="27">
        <f t="shared" si="37"/>
        <v>8821917.8082191776</v>
      </c>
      <c r="H260" s="416"/>
      <c r="I260" s="416"/>
      <c r="J260" s="221"/>
      <c r="K260" s="220"/>
      <c r="L260" s="220"/>
      <c r="M260" s="220"/>
      <c r="N260" s="220"/>
      <c r="O260" s="222"/>
      <c r="P260" s="220"/>
      <c r="Q260" s="153"/>
      <c r="R260" s="153"/>
      <c r="S260" s="153"/>
      <c r="T260" s="153"/>
    </row>
    <row r="261" spans="1:20" s="34" customFormat="1" hidden="1" outlineLevel="1">
      <c r="A261" s="36"/>
      <c r="B261" s="23" t="s">
        <v>99</v>
      </c>
      <c r="C261" s="39" t="s">
        <v>50</v>
      </c>
      <c r="D261" s="123">
        <f>D259</f>
        <v>42</v>
      </c>
      <c r="E261" s="25">
        <v>50</v>
      </c>
      <c r="F261" s="26">
        <f>1045</f>
        <v>1045</v>
      </c>
      <c r="G261" s="27">
        <f t="shared" si="37"/>
        <v>2194500</v>
      </c>
      <c r="H261" s="416"/>
      <c r="I261" s="416"/>
      <c r="J261" s="221"/>
      <c r="K261" s="220"/>
      <c r="L261" s="220"/>
      <c r="M261" s="220"/>
      <c r="N261" s="220"/>
      <c r="O261" s="222"/>
      <c r="P261" s="220"/>
      <c r="Q261" s="153"/>
      <c r="R261" s="153"/>
      <c r="S261" s="153"/>
      <c r="T261" s="153"/>
    </row>
    <row r="262" spans="1:20" s="34" customFormat="1" hidden="1" outlineLevel="1">
      <c r="A262" s="36"/>
      <c r="B262" s="59" t="s">
        <v>52</v>
      </c>
      <c r="C262" s="39" t="s">
        <v>15</v>
      </c>
      <c r="D262" s="123">
        <f>D261</f>
        <v>42</v>
      </c>
      <c r="E262" s="25">
        <f>SUM(E259:E260)</f>
        <v>4</v>
      </c>
      <c r="F262" s="26">
        <f>MROUND((300000/176.33)*1.225*12,10)</f>
        <v>25010</v>
      </c>
      <c r="G262" s="27">
        <f t="shared" si="37"/>
        <v>4201680</v>
      </c>
      <c r="H262" s="416"/>
      <c r="I262" s="416"/>
      <c r="J262" s="221"/>
      <c r="K262" s="220"/>
      <c r="L262" s="220"/>
      <c r="M262" s="220"/>
      <c r="N262" s="220"/>
      <c r="O262" s="222"/>
      <c r="P262" s="220"/>
      <c r="Q262" s="153"/>
      <c r="R262" s="153"/>
      <c r="S262" s="153"/>
      <c r="T262" s="153"/>
    </row>
    <row r="263" spans="1:20" s="34" customFormat="1" hidden="1" outlineLevel="1">
      <c r="A263" s="36"/>
      <c r="B263" s="59" t="s">
        <v>53</v>
      </c>
      <c r="C263" s="39" t="s">
        <v>15</v>
      </c>
      <c r="D263" s="123">
        <f>D262</f>
        <v>42</v>
      </c>
      <c r="E263" s="25">
        <f>E262</f>
        <v>4</v>
      </c>
      <c r="F263" s="26">
        <f>MROUND((150000/176.33)*1.225*12,10)</f>
        <v>12500</v>
      </c>
      <c r="G263" s="27">
        <f t="shared" si="37"/>
        <v>2100000</v>
      </c>
      <c r="H263" s="416"/>
      <c r="I263" s="416"/>
      <c r="J263" s="221"/>
      <c r="K263" s="220"/>
      <c r="L263" s="220"/>
      <c r="M263" s="220"/>
      <c r="N263" s="220"/>
      <c r="O263" s="222"/>
      <c r="P263" s="220"/>
      <c r="Q263" s="153"/>
      <c r="R263" s="153"/>
      <c r="S263" s="153"/>
      <c r="T263" s="153"/>
    </row>
    <row r="264" spans="1:20" s="34" customFormat="1" hidden="1" outlineLevel="1">
      <c r="A264" s="36"/>
      <c r="B264" s="59" t="s">
        <v>100</v>
      </c>
      <c r="C264" s="39" t="s">
        <v>65</v>
      </c>
      <c r="D264" s="123">
        <v>1</v>
      </c>
      <c r="E264" s="25">
        <f>E254</f>
        <v>1656</v>
      </c>
      <c r="F264" s="26">
        <f>38000</f>
        <v>38000</v>
      </c>
      <c r="G264" s="27">
        <f t="shared" si="37"/>
        <v>62928000</v>
      </c>
      <c r="H264" s="416"/>
      <c r="I264" s="416"/>
      <c r="J264" s="221"/>
      <c r="K264" s="220"/>
      <c r="L264" s="220"/>
      <c r="M264" s="220"/>
      <c r="N264" s="220"/>
      <c r="O264" s="222"/>
      <c r="P264" s="220"/>
      <c r="Q264" s="153"/>
      <c r="R264" s="153"/>
      <c r="S264" s="153"/>
      <c r="T264" s="153"/>
    </row>
    <row r="265" spans="1:20" s="34" customFormat="1" hidden="1" outlineLevel="1">
      <c r="A265" s="36"/>
      <c r="B265" s="23"/>
      <c r="C265" s="39"/>
      <c r="D265" s="123"/>
      <c r="E265" s="25"/>
      <c r="F265" s="26"/>
      <c r="G265" s="27">
        <f>F265*E265</f>
        <v>0</v>
      </c>
      <c r="H265" s="416"/>
      <c r="I265" s="416"/>
      <c r="J265" s="221"/>
      <c r="K265" s="220"/>
      <c r="L265" s="220"/>
      <c r="M265" s="220"/>
      <c r="N265" s="220"/>
      <c r="O265" s="222"/>
      <c r="P265" s="220"/>
      <c r="Q265" s="153"/>
      <c r="R265" s="153"/>
      <c r="S265" s="153"/>
      <c r="T265" s="153"/>
    </row>
    <row r="266" spans="1:20" collapsed="1">
      <c r="A266" s="55">
        <v>304</v>
      </c>
      <c r="B266" s="56" t="s">
        <v>101</v>
      </c>
      <c r="C266" s="57" t="s">
        <v>61</v>
      </c>
      <c r="D266" s="123">
        <v>1</v>
      </c>
      <c r="E266" s="58">
        <v>418</v>
      </c>
      <c r="F266" s="22">
        <f>MROUND(O266,10)</f>
        <v>270540</v>
      </c>
      <c r="G266" s="398" t="s">
        <v>659</v>
      </c>
      <c r="H266" s="416"/>
      <c r="I266" s="416"/>
      <c r="K266" s="409">
        <f>SUM(G267:G280)/$E266</f>
        <v>172536.62557781202</v>
      </c>
      <c r="L266" s="409">
        <f>K266*$L$16</f>
        <v>17253.662557781205</v>
      </c>
      <c r="M266" s="409">
        <f>K266*$M$16</f>
        <v>3450.7325115562408</v>
      </c>
      <c r="N266" s="409">
        <f>SUM(K266:M266)</f>
        <v>193241.02064714947</v>
      </c>
      <c r="O266" s="410">
        <f>N266*$Q$5</f>
        <v>270537.42890600924</v>
      </c>
      <c r="P266" s="409">
        <f>O266-N266</f>
        <v>77296.408258859767</v>
      </c>
    </row>
    <row r="267" spans="1:20" s="34" customFormat="1" hidden="1" outlineLevel="1">
      <c r="A267" s="36"/>
      <c r="B267" s="23" t="s">
        <v>102</v>
      </c>
      <c r="C267" s="39" t="s">
        <v>43</v>
      </c>
      <c r="D267" s="123">
        <v>1</v>
      </c>
      <c r="E267" s="25">
        <f>E266/0.1</f>
        <v>4180</v>
      </c>
      <c r="F267" s="26"/>
      <c r="G267" s="258"/>
      <c r="H267" s="416"/>
      <c r="I267" s="416"/>
      <c r="J267" s="221"/>
      <c r="K267" s="220"/>
      <c r="L267" s="220"/>
      <c r="M267" s="220"/>
      <c r="N267" s="220"/>
      <c r="O267" s="222"/>
      <c r="P267" s="220"/>
      <c r="Q267" s="153"/>
      <c r="R267" s="153"/>
      <c r="S267" s="153"/>
      <c r="T267" s="153"/>
    </row>
    <row r="268" spans="1:20" s="34" customFormat="1" hidden="1" outlineLevel="1">
      <c r="A268" s="36"/>
      <c r="B268" s="23" t="s">
        <v>103</v>
      </c>
      <c r="C268" s="39" t="s">
        <v>31</v>
      </c>
      <c r="D268" s="123">
        <v>1</v>
      </c>
      <c r="E268" s="25">
        <f>MROUND((1+1/0.25)*2,1)</f>
        <v>10</v>
      </c>
      <c r="F268" s="26"/>
      <c r="G268" s="258"/>
      <c r="H268" s="416"/>
      <c r="I268" s="416"/>
      <c r="J268" s="221"/>
      <c r="K268" s="220"/>
      <c r="L268" s="220"/>
      <c r="M268" s="220"/>
      <c r="N268" s="220"/>
      <c r="O268" s="222"/>
      <c r="P268" s="220"/>
      <c r="Q268" s="153"/>
      <c r="R268" s="153"/>
      <c r="S268" s="153"/>
      <c r="T268" s="153"/>
    </row>
    <row r="269" spans="1:20" s="34" customFormat="1" hidden="1" outlineLevel="1">
      <c r="A269" s="36"/>
      <c r="B269" s="23" t="s">
        <v>104</v>
      </c>
      <c r="C269" s="39" t="s">
        <v>94</v>
      </c>
      <c r="D269" s="123">
        <v>1</v>
      </c>
      <c r="E269" s="25">
        <f>0.222*E268</f>
        <v>2.2200000000000002</v>
      </c>
      <c r="F269" s="26"/>
      <c r="G269" s="258"/>
      <c r="H269" s="416"/>
      <c r="I269" s="416"/>
      <c r="J269" s="221"/>
      <c r="K269" s="220"/>
      <c r="L269" s="220"/>
      <c r="M269" s="220"/>
      <c r="N269" s="220"/>
      <c r="O269" s="222"/>
      <c r="P269" s="220"/>
      <c r="Q269" s="153"/>
      <c r="R269" s="153"/>
      <c r="S269" s="153"/>
      <c r="T269" s="153"/>
    </row>
    <row r="270" spans="1:20" s="32" customFormat="1" hidden="1" outlineLevel="1">
      <c r="A270" s="30"/>
      <c r="B270" s="259" t="s">
        <v>105</v>
      </c>
      <c r="C270" s="245" t="s">
        <v>65</v>
      </c>
      <c r="D270" s="123">
        <v>1</v>
      </c>
      <c r="E270" s="25">
        <f>E266</f>
        <v>418</v>
      </c>
      <c r="F270" s="26">
        <v>105000</v>
      </c>
      <c r="G270" s="258">
        <f t="shared" ref="G270:G279" si="38">F270*E270*D270</f>
        <v>43890000</v>
      </c>
      <c r="H270" s="416"/>
      <c r="I270" s="416"/>
      <c r="J270" s="411"/>
      <c r="K270" s="412"/>
      <c r="L270" s="412"/>
      <c r="M270" s="412"/>
      <c r="N270" s="412"/>
      <c r="O270" s="413"/>
      <c r="P270" s="412"/>
      <c r="Q270" s="414"/>
      <c r="R270" s="414"/>
      <c r="S270" s="414"/>
      <c r="T270" s="414"/>
    </row>
    <row r="271" spans="1:20" s="32" customFormat="1" hidden="1" outlineLevel="1">
      <c r="A271" s="30"/>
      <c r="B271" s="259" t="s">
        <v>106</v>
      </c>
      <c r="C271" s="245" t="s">
        <v>94</v>
      </c>
      <c r="D271" s="123">
        <f>1</f>
        <v>1</v>
      </c>
      <c r="E271" s="25">
        <f>E269*E267</f>
        <v>9279.6</v>
      </c>
      <c r="F271" s="26">
        <f>$F$256</f>
        <v>800</v>
      </c>
      <c r="G271" s="258">
        <f t="shared" si="38"/>
        <v>7423680</v>
      </c>
      <c r="H271" s="416"/>
      <c r="I271" s="416"/>
      <c r="J271" s="411"/>
      <c r="K271" s="412"/>
      <c r="L271" s="412"/>
      <c r="M271" s="412"/>
      <c r="N271" s="412"/>
      <c r="O271" s="413"/>
      <c r="P271" s="412"/>
      <c r="Q271" s="414"/>
      <c r="R271" s="414"/>
      <c r="S271" s="414"/>
      <c r="T271" s="414"/>
    </row>
    <row r="272" spans="1:20" s="32" customFormat="1" hidden="1" outlineLevel="1">
      <c r="A272" s="30"/>
      <c r="B272" s="259" t="s">
        <v>95</v>
      </c>
      <c r="C272" s="245" t="s">
        <v>94</v>
      </c>
      <c r="D272" s="123">
        <f>1</f>
        <v>1</v>
      </c>
      <c r="E272" s="25">
        <f>MROUND(E271*2%,5)</f>
        <v>185</v>
      </c>
      <c r="F272" s="26">
        <f>$F$257</f>
        <v>1400</v>
      </c>
      <c r="G272" s="258">
        <f t="shared" si="38"/>
        <v>259000</v>
      </c>
      <c r="H272" s="416"/>
      <c r="I272" s="416"/>
      <c r="J272" s="411"/>
      <c r="K272" s="412"/>
      <c r="L272" s="412"/>
      <c r="M272" s="412"/>
      <c r="N272" s="412"/>
      <c r="O272" s="413"/>
      <c r="P272" s="412"/>
      <c r="Q272" s="414"/>
      <c r="R272" s="414"/>
      <c r="S272" s="414"/>
      <c r="T272" s="414"/>
    </row>
    <row r="273" spans="1:20" s="32" customFormat="1" hidden="1" outlineLevel="1">
      <c r="A273" s="30"/>
      <c r="B273" s="259" t="s">
        <v>96</v>
      </c>
      <c r="C273" s="245" t="s">
        <v>31</v>
      </c>
      <c r="D273" s="123">
        <f>1</f>
        <v>1</v>
      </c>
      <c r="E273" s="25">
        <f>MROUND(E266/100,1)</f>
        <v>4</v>
      </c>
      <c r="F273" s="26">
        <f>$F$258</f>
        <v>152542.37288135593</v>
      </c>
      <c r="G273" s="258">
        <f t="shared" si="38"/>
        <v>610169.49152542371</v>
      </c>
      <c r="H273" s="416"/>
      <c r="I273" s="416"/>
      <c r="J273" s="411"/>
      <c r="K273" s="412"/>
      <c r="L273" s="412"/>
      <c r="M273" s="412"/>
      <c r="N273" s="412"/>
      <c r="O273" s="413"/>
      <c r="P273" s="412"/>
      <c r="Q273" s="414"/>
      <c r="R273" s="414"/>
      <c r="S273" s="414"/>
      <c r="T273" s="414"/>
    </row>
    <row r="274" spans="1:20" s="32" customFormat="1" ht="22.8" hidden="1" outlineLevel="1">
      <c r="A274" s="30"/>
      <c r="B274" s="259" t="s">
        <v>107</v>
      </c>
      <c r="C274" s="245" t="s">
        <v>89</v>
      </c>
      <c r="D274" s="123">
        <f>ROUNDUP(($E$266/60)+14,0)</f>
        <v>21</v>
      </c>
      <c r="E274" s="25">
        <v>3</v>
      </c>
      <c r="F274" s="26">
        <f>(175000/1.095)*1/12</f>
        <v>13318.112633181127</v>
      </c>
      <c r="G274" s="258">
        <f t="shared" si="38"/>
        <v>839041.09589041106</v>
      </c>
      <c r="H274" s="416"/>
      <c r="I274" s="416"/>
      <c r="J274" s="411"/>
      <c r="K274" s="412"/>
      <c r="L274" s="412"/>
      <c r="M274" s="412"/>
      <c r="N274" s="412"/>
      <c r="O274" s="413"/>
      <c r="P274" s="412"/>
      <c r="Q274" s="414"/>
      <c r="R274" s="414"/>
      <c r="S274" s="414"/>
      <c r="T274" s="414"/>
    </row>
    <row r="275" spans="1:20" s="32" customFormat="1" hidden="1" outlineLevel="1">
      <c r="A275" s="30"/>
      <c r="B275" s="259" t="s">
        <v>98</v>
      </c>
      <c r="C275" s="245" t="s">
        <v>31</v>
      </c>
      <c r="D275" s="123">
        <f>ROUNDUP(($E$266/60)+14,0)</f>
        <v>21</v>
      </c>
      <c r="E275" s="25">
        <v>1</v>
      </c>
      <c r="F275" s="26">
        <f>$F$260</f>
        <v>210045.66210045663</v>
      </c>
      <c r="G275" s="258">
        <f t="shared" si="38"/>
        <v>4410958.9041095888</v>
      </c>
      <c r="H275" s="416"/>
      <c r="I275" s="416"/>
      <c r="J275" s="411"/>
      <c r="K275" s="412"/>
      <c r="L275" s="412"/>
      <c r="M275" s="412"/>
      <c r="N275" s="412"/>
      <c r="O275" s="413"/>
      <c r="P275" s="412"/>
      <c r="Q275" s="414"/>
      <c r="R275" s="414"/>
      <c r="S275" s="414"/>
      <c r="T275" s="414"/>
    </row>
    <row r="276" spans="1:20" s="32" customFormat="1" hidden="1" outlineLevel="1">
      <c r="A276" s="30"/>
      <c r="B276" s="259" t="s">
        <v>99</v>
      </c>
      <c r="C276" s="245" t="s">
        <v>50</v>
      </c>
      <c r="D276" s="123">
        <f>D274</f>
        <v>21</v>
      </c>
      <c r="E276" s="25">
        <v>50</v>
      </c>
      <c r="F276" s="26">
        <f>1045</f>
        <v>1045</v>
      </c>
      <c r="G276" s="258">
        <f t="shared" si="38"/>
        <v>1097250</v>
      </c>
      <c r="H276" s="416"/>
      <c r="I276" s="416"/>
      <c r="J276" s="411"/>
      <c r="K276" s="412"/>
      <c r="L276" s="412"/>
      <c r="M276" s="412"/>
      <c r="N276" s="412"/>
      <c r="O276" s="413"/>
      <c r="P276" s="412"/>
      <c r="Q276" s="414"/>
      <c r="R276" s="414"/>
      <c r="S276" s="414"/>
      <c r="T276" s="414"/>
    </row>
    <row r="277" spans="1:20" s="32" customFormat="1" ht="22.8" hidden="1" outlineLevel="1">
      <c r="A277" s="30"/>
      <c r="B277" s="260" t="s">
        <v>52</v>
      </c>
      <c r="C277" s="245" t="s">
        <v>15</v>
      </c>
      <c r="D277" s="123">
        <f>D276</f>
        <v>21</v>
      </c>
      <c r="E277" s="25">
        <f>SUM(E275)</f>
        <v>1</v>
      </c>
      <c r="F277" s="26">
        <f>MROUND((300000/176.33)*1.225*12,10)</f>
        <v>25010</v>
      </c>
      <c r="G277" s="258">
        <f t="shared" si="38"/>
        <v>525210</v>
      </c>
      <c r="H277" s="416"/>
      <c r="I277" s="416"/>
      <c r="J277" s="411"/>
      <c r="K277" s="412"/>
      <c r="L277" s="412"/>
      <c r="M277" s="412"/>
      <c r="N277" s="412"/>
      <c r="O277" s="413"/>
      <c r="P277" s="412"/>
      <c r="Q277" s="414"/>
      <c r="R277" s="414"/>
      <c r="S277" s="414"/>
      <c r="T277" s="414"/>
    </row>
    <row r="278" spans="1:20" s="32" customFormat="1" ht="22.8" hidden="1" outlineLevel="1">
      <c r="A278" s="30"/>
      <c r="B278" s="260" t="s">
        <v>53</v>
      </c>
      <c r="C278" s="245" t="s">
        <v>15</v>
      </c>
      <c r="D278" s="123">
        <f>D277</f>
        <v>21</v>
      </c>
      <c r="E278" s="25">
        <f>1+E277</f>
        <v>2</v>
      </c>
      <c r="F278" s="26">
        <f>MROUND((150000/176.33)*1.225*12,10)</f>
        <v>12500</v>
      </c>
      <c r="G278" s="258">
        <f t="shared" si="38"/>
        <v>525000</v>
      </c>
      <c r="H278" s="416"/>
      <c r="I278" s="416"/>
      <c r="J278" s="411"/>
      <c r="K278" s="412"/>
      <c r="L278" s="412"/>
      <c r="M278" s="412"/>
      <c r="N278" s="412"/>
      <c r="O278" s="413"/>
      <c r="P278" s="412"/>
      <c r="Q278" s="414"/>
      <c r="R278" s="414"/>
      <c r="S278" s="414"/>
      <c r="T278" s="414"/>
    </row>
    <row r="279" spans="1:20" s="32" customFormat="1" hidden="1" outlineLevel="1">
      <c r="A279" s="30"/>
      <c r="B279" s="260" t="s">
        <v>108</v>
      </c>
      <c r="C279" s="245" t="s">
        <v>43</v>
      </c>
      <c r="D279" s="123">
        <v>1</v>
      </c>
      <c r="E279" s="25">
        <f>E267</f>
        <v>4180</v>
      </c>
      <c r="F279" s="26">
        <f>3000</f>
        <v>3000</v>
      </c>
      <c r="G279" s="258">
        <f t="shared" si="38"/>
        <v>12540000</v>
      </c>
      <c r="H279" s="416"/>
      <c r="I279" s="416"/>
      <c r="J279" s="411"/>
      <c r="K279" s="412"/>
      <c r="L279" s="412"/>
      <c r="M279" s="412"/>
      <c r="N279" s="412"/>
      <c r="O279" s="413"/>
      <c r="P279" s="412"/>
      <c r="Q279" s="414"/>
      <c r="R279" s="414"/>
      <c r="S279" s="414"/>
      <c r="T279" s="414"/>
    </row>
    <row r="280" spans="1:20" s="34" customFormat="1" hidden="1" outlineLevel="1">
      <c r="A280" s="36"/>
      <c r="B280" s="23"/>
      <c r="C280" s="39"/>
      <c r="D280" s="123"/>
      <c r="E280" s="25"/>
      <c r="F280" s="26"/>
      <c r="G280" s="258">
        <f>F280*E280</f>
        <v>0</v>
      </c>
      <c r="H280" s="416"/>
      <c r="I280" s="416"/>
      <c r="J280" s="221"/>
      <c r="K280" s="220"/>
      <c r="L280" s="220"/>
      <c r="M280" s="220"/>
      <c r="N280" s="220"/>
      <c r="O280" s="222"/>
      <c r="P280" s="220"/>
      <c r="Q280" s="153"/>
      <c r="R280" s="153"/>
      <c r="S280" s="153"/>
      <c r="T280" s="153"/>
    </row>
    <row r="281" spans="1:20" collapsed="1">
      <c r="A281" s="40"/>
      <c r="B281" s="41"/>
      <c r="C281" s="41"/>
      <c r="D281" s="123"/>
      <c r="E281" s="42"/>
      <c r="F281" s="43"/>
      <c r="G281" s="44">
        <f>SUM(G234,G244,G254,G266)</f>
        <v>0</v>
      </c>
      <c r="H281" s="416"/>
      <c r="I281" s="416"/>
      <c r="J281" s="133"/>
      <c r="K281" s="406"/>
      <c r="L281" s="406"/>
      <c r="M281" s="406"/>
      <c r="N281" s="406"/>
      <c r="O281" s="133"/>
      <c r="P281" s="406"/>
    </row>
    <row r="282" spans="1:20" ht="13.8" collapsed="1" thickBot="1">
      <c r="A282" s="45" t="s">
        <v>654</v>
      </c>
      <c r="B282" s="46"/>
      <c r="C282" s="46"/>
      <c r="D282" s="47"/>
      <c r="E282" s="48"/>
      <c r="F282" s="49"/>
      <c r="G282" s="50"/>
      <c r="H282" s="416"/>
      <c r="I282" s="416"/>
      <c r="K282" s="406"/>
      <c r="L282" s="406"/>
      <c r="M282" s="406"/>
      <c r="N282" s="406"/>
      <c r="O282" s="133"/>
      <c r="P282" s="406"/>
    </row>
    <row r="283" spans="1:20" s="34" customFormat="1" ht="13.8" thickBot="1">
      <c r="A283" s="36"/>
      <c r="B283" s="337" t="s">
        <v>614</v>
      </c>
      <c r="C283" s="338" t="s">
        <v>110</v>
      </c>
      <c r="D283" s="336">
        <v>1</v>
      </c>
      <c r="E283" s="335">
        <f>(445.16+115.84+112.6+238.65+448.3+52+107.36)-E534</f>
        <v>1281.2599999999998</v>
      </c>
      <c r="F283" s="26"/>
      <c r="G283" s="258"/>
      <c r="H283" s="416"/>
      <c r="I283" s="416"/>
      <c r="K283" s="614" t="s">
        <v>706</v>
      </c>
      <c r="L283" s="615" t="s">
        <v>707</v>
      </c>
      <c r="M283" s="737" t="s">
        <v>708</v>
      </c>
      <c r="N283" s="738"/>
      <c r="O283" s="222"/>
      <c r="P283" s="220"/>
      <c r="Q283" s="153"/>
      <c r="R283" s="153"/>
      <c r="S283" s="153"/>
      <c r="T283" s="153"/>
    </row>
    <row r="284" spans="1:20" s="34" customFormat="1" ht="13.2" hidden="1" customHeight="1" outlineLevel="1">
      <c r="A284" s="36"/>
      <c r="B284" s="719" t="s">
        <v>611</v>
      </c>
      <c r="C284" s="328" t="s">
        <v>111</v>
      </c>
      <c r="D284" s="123">
        <v>1</v>
      </c>
      <c r="E284" s="58">
        <f>177.5</f>
        <v>177.5</v>
      </c>
      <c r="F284" s="26"/>
      <c r="G284" s="258"/>
      <c r="H284" s="416"/>
      <c r="I284" s="416"/>
      <c r="K284" s="524">
        <f>E284/$M$286</f>
        <v>28.264331210191081</v>
      </c>
      <c r="L284" s="467">
        <f>$M$284*K284^2</f>
        <v>2508.4593949044583</v>
      </c>
      <c r="M284" s="468">
        <v>3.14</v>
      </c>
      <c r="N284" s="220"/>
      <c r="O284" s="222"/>
      <c r="P284" s="220"/>
      <c r="Q284" s="153"/>
      <c r="R284" s="153"/>
      <c r="S284" s="153"/>
      <c r="T284" s="153"/>
    </row>
    <row r="285" spans="1:20" s="34" customFormat="1" ht="13.2" hidden="1" customHeight="1" outlineLevel="1">
      <c r="A285" s="36"/>
      <c r="B285" s="719" t="s">
        <v>612</v>
      </c>
      <c r="C285" s="328" t="s">
        <v>111</v>
      </c>
      <c r="D285" s="123">
        <v>1</v>
      </c>
      <c r="E285" s="58">
        <f>95</f>
        <v>95</v>
      </c>
      <c r="F285" s="26"/>
      <c r="G285" s="258"/>
      <c r="H285" s="416"/>
      <c r="I285" s="416"/>
      <c r="K285" s="524">
        <f>E285/$M$286</f>
        <v>15.127388535031846</v>
      </c>
      <c r="L285" s="467">
        <f>$M$284*K285^2</f>
        <v>718.55095541401272</v>
      </c>
      <c r="M285" s="469"/>
      <c r="N285" s="220"/>
      <c r="O285" s="222"/>
      <c r="P285" s="220"/>
      <c r="Q285" s="153"/>
      <c r="R285" s="153"/>
      <c r="S285" s="153"/>
      <c r="T285" s="153"/>
    </row>
    <row r="286" spans="1:20" s="34" customFormat="1" ht="13.8" hidden="1" customHeight="1" outlineLevel="1" thickBot="1">
      <c r="A286" s="36"/>
      <c r="B286" s="719" t="s">
        <v>604</v>
      </c>
      <c r="C286" s="328" t="s">
        <v>43</v>
      </c>
      <c r="D286" s="123">
        <v>1</v>
      </c>
      <c r="E286" s="58">
        <f>(($E$284/$M$286)^2)*3.14</f>
        <v>2508.4593949044583</v>
      </c>
      <c r="F286" s="26"/>
      <c r="G286" s="258"/>
      <c r="H286" s="416"/>
      <c r="I286" s="416"/>
      <c r="K286" s="525"/>
      <c r="L286" s="470" t="s">
        <v>613</v>
      </c>
      <c r="M286" s="471">
        <f>2*3.14</f>
        <v>6.28</v>
      </c>
      <c r="N286" s="220"/>
      <c r="O286" s="222"/>
      <c r="P286" s="220"/>
      <c r="Q286" s="153"/>
      <c r="R286" s="153"/>
      <c r="S286" s="153"/>
      <c r="T286" s="153"/>
    </row>
    <row r="287" spans="1:20" s="34" customFormat="1" ht="13.2" hidden="1" customHeight="1" outlineLevel="1">
      <c r="A287" s="36"/>
      <c r="B287" s="719" t="s">
        <v>605</v>
      </c>
      <c r="C287" s="328" t="s">
        <v>43</v>
      </c>
      <c r="D287" s="361">
        <v>1</v>
      </c>
      <c r="E287" s="404">
        <f>L284-L285</f>
        <v>1789.9084394904457</v>
      </c>
      <c r="F287" s="26"/>
      <c r="G287" s="258"/>
      <c r="H287" s="416"/>
      <c r="I287" s="416"/>
      <c r="K287" s="221"/>
      <c r="L287" s="220"/>
      <c r="M287" s="220"/>
      <c r="N287" s="220"/>
      <c r="O287" s="222"/>
      <c r="P287" s="220"/>
      <c r="Q287" s="153"/>
      <c r="R287" s="153"/>
      <c r="S287" s="153"/>
      <c r="T287" s="153"/>
    </row>
    <row r="288" spans="1:20" s="34" customFormat="1" ht="13.8" collapsed="1" thickBot="1">
      <c r="A288" s="36"/>
      <c r="B288" s="718" t="s">
        <v>608</v>
      </c>
      <c r="C288" s="39"/>
      <c r="D288" s="123"/>
      <c r="E288" s="58"/>
      <c r="F288" s="26"/>
      <c r="G288" s="258"/>
      <c r="H288" s="416"/>
      <c r="I288" s="416"/>
      <c r="K288" s="221"/>
      <c r="L288" s="220"/>
      <c r="M288" s="220"/>
      <c r="N288" s="220"/>
      <c r="O288" s="222"/>
      <c r="P288" s="220"/>
      <c r="Q288" s="153"/>
      <c r="R288" s="153"/>
      <c r="S288" s="153"/>
      <c r="T288" s="153"/>
    </row>
    <row r="289" spans="1:20" s="34" customFormat="1" ht="13.8" thickBot="1">
      <c r="A289" s="354">
        <v>3001</v>
      </c>
      <c r="B289" s="16" t="s">
        <v>631</v>
      </c>
      <c r="C289" s="328" t="s">
        <v>43</v>
      </c>
      <c r="D289" s="123">
        <v>1</v>
      </c>
      <c r="E289" s="329">
        <f>$E$283*20+E287</f>
        <v>27415.108439490443</v>
      </c>
      <c r="F289" s="330">
        <f>F27</f>
        <v>1110</v>
      </c>
      <c r="G289" s="331">
        <f>F289*E289*D289</f>
        <v>30430770.367834393</v>
      </c>
      <c r="H289" s="416"/>
      <c r="I289" s="741">
        <f>G289</f>
        <v>30430770.367834393</v>
      </c>
      <c r="J289" s="742">
        <f>I289+SUM(I295:I297)</f>
        <v>415417972.61723715</v>
      </c>
      <c r="K289" s="221" t="s">
        <v>609</v>
      </c>
      <c r="L289" s="221">
        <f>E287*0.6</f>
        <v>1073.9450636942674</v>
      </c>
      <c r="M289" s="220"/>
      <c r="N289" s="220"/>
      <c r="O289" s="222"/>
      <c r="P289" s="220"/>
      <c r="Q289" s="153"/>
      <c r="R289" s="153"/>
      <c r="S289" s="153"/>
      <c r="T289" s="153"/>
    </row>
    <row r="290" spans="1:20" s="34" customFormat="1" ht="15.6" thickBot="1">
      <c r="A290" s="359">
        <v>3002</v>
      </c>
      <c r="B290" s="327" t="s">
        <v>655</v>
      </c>
      <c r="C290" s="328" t="s">
        <v>606</v>
      </c>
      <c r="D290" s="123">
        <v>1</v>
      </c>
      <c r="E290" s="329">
        <f>($E$283*10*K290+$E$287*K290)</f>
        <v>5841.0033757961783</v>
      </c>
      <c r="F290" s="330">
        <f>F195</f>
        <v>7310</v>
      </c>
      <c r="G290" s="331">
        <f>F290*E290*D290</f>
        <v>42697734.677070066</v>
      </c>
      <c r="H290" s="416"/>
      <c r="I290" s="722">
        <f>G290</f>
        <v>42697734.677070066</v>
      </c>
      <c r="K290" s="526">
        <v>0.4</v>
      </c>
      <c r="L290" s="222" t="s">
        <v>627</v>
      </c>
      <c r="M290" s="220"/>
      <c r="N290" s="220"/>
      <c r="O290" s="222"/>
      <c r="P290" s="220"/>
      <c r="Q290" s="153"/>
      <c r="R290" s="153"/>
      <c r="S290" s="153"/>
      <c r="T290" s="153"/>
    </row>
    <row r="291" spans="1:20" s="34" customFormat="1" ht="40.200000000000003" thickBot="1">
      <c r="A291" s="716">
        <v>3003</v>
      </c>
      <c r="B291" s="327" t="s">
        <v>656</v>
      </c>
      <c r="C291" s="328" t="s">
        <v>233</v>
      </c>
      <c r="D291" s="123">
        <v>1</v>
      </c>
      <c r="E291" s="329">
        <f>(($E$283*12*1+$E$287*1)-(445.16*12*1)-(0.5*112.6*12*1)-(0.5*448.3*12*1)-(52*12*1))*E292</f>
        <v>9008.7647054140107</v>
      </c>
      <c r="F291" s="330">
        <f>MROUND(O291,10)</f>
        <v>11160</v>
      </c>
      <c r="G291" s="331">
        <f>F291*E291*D291</f>
        <v>100537814.11242037</v>
      </c>
      <c r="H291" s="416"/>
      <c r="I291" s="739">
        <f>G291</f>
        <v>100537814.11242037</v>
      </c>
      <c r="J291" s="740">
        <f>I291+I298</f>
        <v>125483946.31242037</v>
      </c>
      <c r="K291" s="472">
        <f>SUM(G293:G294)/$E293</f>
        <v>10021.501554743991</v>
      </c>
      <c r="L291" s="472">
        <f>K291*$L$344</f>
        <v>125.26876943429988</v>
      </c>
      <c r="M291" s="472">
        <f>K291*$M$344</f>
        <v>120.25801865692789</v>
      </c>
      <c r="N291" s="472">
        <f>SUM(K291:M291)</f>
        <v>10267.02834283522</v>
      </c>
      <c r="O291" s="473">
        <f>N291/$R$291</f>
        <v>11159.813416125238</v>
      </c>
      <c r="P291" s="472">
        <f>O291-N291</f>
        <v>892.78507329001877</v>
      </c>
      <c r="Q291" s="474">
        <f>1-K291/F291</f>
        <v>0.10201598971828041</v>
      </c>
      <c r="R291" s="475">
        <v>0.92</v>
      </c>
      <c r="S291" s="153"/>
      <c r="T291" s="153"/>
    </row>
    <row r="292" spans="1:20" s="34" customFormat="1" hidden="1" outlineLevel="1">
      <c r="A292" s="326"/>
      <c r="B292" s="346" t="s">
        <v>628</v>
      </c>
      <c r="C292" s="328" t="s">
        <v>629</v>
      </c>
      <c r="D292" s="123">
        <v>1</v>
      </c>
      <c r="E292" s="329">
        <v>1.1499999999999999</v>
      </c>
      <c r="F292" s="329"/>
      <c r="G292" s="331"/>
      <c r="H292" s="416"/>
      <c r="I292" s="416"/>
      <c r="J292" s="221"/>
      <c r="K292" s="220"/>
      <c r="L292" s="220"/>
      <c r="M292" s="220"/>
      <c r="N292" s="220"/>
      <c r="O292" s="222"/>
      <c r="P292" s="220"/>
      <c r="Q292" s="153"/>
      <c r="R292" s="153"/>
      <c r="S292" s="153"/>
      <c r="T292" s="153"/>
    </row>
    <row r="293" spans="1:20" s="34" customFormat="1" hidden="1" outlineLevel="1">
      <c r="A293" s="326"/>
      <c r="B293" s="346" t="s">
        <v>621</v>
      </c>
      <c r="C293" s="328" t="s">
        <v>233</v>
      </c>
      <c r="D293" s="123">
        <v>1</v>
      </c>
      <c r="E293" s="329">
        <f>E291</f>
        <v>9008.7647054140107</v>
      </c>
      <c r="F293" s="330">
        <v>5000</v>
      </c>
      <c r="G293" s="331">
        <f>F293*E293*D293</f>
        <v>45043823.527070053</v>
      </c>
      <c r="H293" s="416"/>
      <c r="I293" s="416"/>
      <c r="J293" s="153"/>
      <c r="K293" s="220">
        <f>E287*J291</f>
        <v>224604774525.16721</v>
      </c>
      <c r="L293" s="220">
        <v>19713.386393312099</v>
      </c>
      <c r="M293" s="220"/>
      <c r="N293" s="220"/>
      <c r="O293" s="222"/>
      <c r="P293" s="220"/>
      <c r="Q293" s="153"/>
      <c r="R293" s="153"/>
      <c r="S293" s="153"/>
      <c r="T293" s="153"/>
    </row>
    <row r="294" spans="1:20" s="34" customFormat="1" ht="15" hidden="1" outlineLevel="1">
      <c r="A294" s="326"/>
      <c r="B294" s="346" t="s">
        <v>622</v>
      </c>
      <c r="C294" s="328" t="s">
        <v>606</v>
      </c>
      <c r="D294" s="123">
        <v>1</v>
      </c>
      <c r="E294" s="329">
        <f>E291</f>
        <v>9008.7647054140107</v>
      </c>
      <c r="F294" s="329">
        <f>$K$195</f>
        <v>5021.5015547439907</v>
      </c>
      <c r="G294" s="331">
        <f>F294*E294*D294</f>
        <v>45237525.974559247</v>
      </c>
      <c r="H294" s="416"/>
      <c r="I294" s="416"/>
      <c r="J294" s="221"/>
      <c r="K294" s="220"/>
      <c r="L294" s="220"/>
      <c r="M294" s="220"/>
      <c r="N294" s="220"/>
      <c r="O294" s="222"/>
      <c r="P294" s="220"/>
      <c r="Q294" s="153"/>
      <c r="R294" s="153"/>
      <c r="S294" s="153"/>
      <c r="T294" s="153"/>
    </row>
    <row r="295" spans="1:20" s="34" customFormat="1" ht="39.6" collapsed="1">
      <c r="A295" s="354">
        <v>3004</v>
      </c>
      <c r="B295" s="327" t="s">
        <v>632</v>
      </c>
      <c r="C295" s="328" t="s">
        <v>606</v>
      </c>
      <c r="D295" s="123">
        <v>1</v>
      </c>
      <c r="E295" s="329">
        <f>E291*E292</f>
        <v>10360.079411226112</v>
      </c>
      <c r="F295" s="330">
        <f>F209</f>
        <v>21860</v>
      </c>
      <c r="G295" s="331">
        <f t="shared" ref="G295" si="39">F295*E295*D295</f>
        <v>226471335.9294028</v>
      </c>
      <c r="H295" s="416"/>
      <c r="I295" s="715">
        <f>G295</f>
        <v>226471335.9294028</v>
      </c>
      <c r="J295" s="730">
        <f>E295+E296+E297</f>
        <v>17611.49141122611</v>
      </c>
      <c r="K295" s="220"/>
      <c r="L295" s="220"/>
      <c r="M295" s="220"/>
      <c r="N295" s="220"/>
      <c r="O295" s="222"/>
      <c r="P295" s="220"/>
      <c r="Q295" s="153"/>
      <c r="R295" s="153"/>
      <c r="S295" s="153"/>
      <c r="T295" s="153"/>
    </row>
    <row r="296" spans="1:20" s="34" customFormat="1" ht="66">
      <c r="A296" s="354">
        <v>3005</v>
      </c>
      <c r="B296" s="355" t="s">
        <v>630</v>
      </c>
      <c r="C296" s="356" t="s">
        <v>606</v>
      </c>
      <c r="D296" s="357">
        <v>1</v>
      </c>
      <c r="E296" s="342">
        <f>(SUM(E346,E362,E363,E378,E393,E394,E410,E444,E474,E477,E497,E515,E534,E553)*1.4*1.4)*2</f>
        <v>4606.1959999999999</v>
      </c>
      <c r="F296" s="343">
        <f>F295</f>
        <v>21860</v>
      </c>
      <c r="G296" s="344">
        <f t="shared" ref="G296" si="40">F296*E296*D296</f>
        <v>100691444.56</v>
      </c>
      <c r="H296" s="416"/>
      <c r="I296" s="715">
        <f t="shared" ref="I296:I297" si="41">G296</f>
        <v>100691444.56</v>
      </c>
      <c r="K296" s="345">
        <f>2.3-0.6</f>
        <v>1.6999999999999997</v>
      </c>
      <c r="L296" s="339">
        <f>E296</f>
        <v>4606.1959999999999</v>
      </c>
      <c r="M296" s="340">
        <v>0.5</v>
      </c>
      <c r="N296" s="339">
        <f>E296-5992.76</f>
        <v>-1386.5640000000003</v>
      </c>
      <c r="O296" s="222"/>
      <c r="P296" s="220"/>
      <c r="Q296" s="153"/>
      <c r="R296" s="153"/>
      <c r="S296" s="153"/>
      <c r="T296" s="153"/>
    </row>
    <row r="297" spans="1:20" s="34" customFormat="1" ht="26.4">
      <c r="A297" s="354">
        <v>3006</v>
      </c>
      <c r="B297" s="327" t="s">
        <v>633</v>
      </c>
      <c r="C297" s="328" t="s">
        <v>606</v>
      </c>
      <c r="D297" s="123">
        <v>1</v>
      </c>
      <c r="E297" s="329">
        <f>($E$283+238.5-445.16-112.6*70%-448.3*60%-52)*(2*(1.4*1.4))</f>
        <v>2645.2159999999985</v>
      </c>
      <c r="F297" s="330">
        <f>F296</f>
        <v>21860</v>
      </c>
      <c r="G297" s="331">
        <f t="shared" ref="G297" si="42">F297*E297*D297</f>
        <v>57824421.759999968</v>
      </c>
      <c r="H297" s="416"/>
      <c r="I297" s="715">
        <f t="shared" si="41"/>
        <v>57824421.759999968</v>
      </c>
      <c r="K297" s="408">
        <f>E283+238.5</f>
        <v>1519.7599999999998</v>
      </c>
      <c r="L297" s="220">
        <f>10+1.5*2</f>
        <v>13</v>
      </c>
      <c r="M297" s="220">
        <f>21-L297</f>
        <v>8</v>
      </c>
      <c r="N297" s="220"/>
      <c r="O297" s="222"/>
      <c r="P297" s="220"/>
      <c r="Q297" s="153"/>
      <c r="R297" s="153"/>
      <c r="S297" s="153"/>
      <c r="T297" s="153"/>
    </row>
    <row r="298" spans="1:20" s="34" customFormat="1" ht="39.6">
      <c r="A298" s="358">
        <v>3007</v>
      </c>
      <c r="B298" s="327" t="s">
        <v>607</v>
      </c>
      <c r="C298" s="328" t="s">
        <v>43</v>
      </c>
      <c r="D298" s="123">
        <v>1</v>
      </c>
      <c r="E298" s="329">
        <f>$E$283*(7+1.5*2)*1.1</f>
        <v>14093.859999999999</v>
      </c>
      <c r="F298" s="330">
        <f>MROUND(O298,10)</f>
        <v>1770</v>
      </c>
      <c r="G298" s="331">
        <f t="shared" ref="G298:G315" si="43">F298*E298*D298</f>
        <v>24946132.199999999</v>
      </c>
      <c r="H298" s="416"/>
      <c r="I298" s="717">
        <f>G298</f>
        <v>24946132.199999999</v>
      </c>
      <c r="J298" s="221"/>
      <c r="K298" s="409">
        <f>SUM(G299:G302)/$E298</f>
        <v>1358.4289612639832</v>
      </c>
      <c r="L298" s="409">
        <f>K298*$L$344</f>
        <v>16.980362015799791</v>
      </c>
      <c r="M298" s="409">
        <f>K298*$M$344</f>
        <v>16.3011475351678</v>
      </c>
      <c r="N298" s="409">
        <f>SUM(K298:M298)</f>
        <v>1391.7104708149507</v>
      </c>
      <c r="O298" s="410">
        <f>N298/$R$346</f>
        <v>1766.1300391052673</v>
      </c>
      <c r="P298" s="409">
        <f>O298-N298</f>
        <v>374.41956829031665</v>
      </c>
      <c r="Q298" s="474">
        <f>1-K298/F298</f>
        <v>0.23252601058532019</v>
      </c>
      <c r="R298" s="153"/>
      <c r="S298" s="153"/>
      <c r="T298" s="153"/>
    </row>
    <row r="299" spans="1:20" s="34" customFormat="1" hidden="1" outlineLevel="1">
      <c r="A299" s="326"/>
      <c r="B299" s="346" t="s">
        <v>623</v>
      </c>
      <c r="C299" s="328" t="s">
        <v>82</v>
      </c>
      <c r="D299" s="123">
        <v>1</v>
      </c>
      <c r="E299" s="329">
        <f>ROUNDUP(E298/1080,0)</f>
        <v>14</v>
      </c>
      <c r="F299" s="330">
        <f>750*1080</f>
        <v>810000</v>
      </c>
      <c r="G299" s="331">
        <f>F299*E299*D299</f>
        <v>11340000</v>
      </c>
      <c r="H299" s="416"/>
      <c r="I299" s="416"/>
      <c r="J299" s="221"/>
      <c r="K299" s="220"/>
      <c r="L299" s="220"/>
      <c r="M299" s="220"/>
      <c r="N299" s="220"/>
      <c r="O299" s="222"/>
      <c r="P299" s="220"/>
      <c r="Q299" s="153"/>
      <c r="R299" s="153"/>
      <c r="S299" s="153"/>
      <c r="T299" s="153"/>
    </row>
    <row r="300" spans="1:20" s="34" customFormat="1" hidden="1" outlineLevel="1">
      <c r="A300" s="326"/>
      <c r="B300" s="346" t="s">
        <v>624</v>
      </c>
      <c r="C300" s="328" t="s">
        <v>31</v>
      </c>
      <c r="D300" s="123">
        <v>1</v>
      </c>
      <c r="E300" s="347">
        <v>0.15</v>
      </c>
      <c r="F300" s="330">
        <f>G299</f>
        <v>11340000</v>
      </c>
      <c r="G300" s="331">
        <f t="shared" ref="G300:G301" si="44">F300*E300*D300</f>
        <v>1701000</v>
      </c>
      <c r="H300" s="416"/>
      <c r="I300" s="416"/>
      <c r="J300" s="221"/>
      <c r="K300" s="220"/>
      <c r="L300" s="220"/>
      <c r="M300" s="220"/>
      <c r="N300" s="220"/>
      <c r="O300" s="222"/>
      <c r="P300" s="220"/>
      <c r="Q300" s="153"/>
      <c r="R300" s="153"/>
      <c r="S300" s="153"/>
      <c r="T300" s="153"/>
    </row>
    <row r="301" spans="1:20" s="34" customFormat="1" hidden="1" outlineLevel="1">
      <c r="A301" s="326"/>
      <c r="B301" s="346" t="s">
        <v>625</v>
      </c>
      <c r="C301" s="328" t="s">
        <v>31</v>
      </c>
      <c r="D301" s="123">
        <v>1</v>
      </c>
      <c r="E301" s="329">
        <f>E298</f>
        <v>14093.859999999999</v>
      </c>
      <c r="F301" s="330">
        <v>400</v>
      </c>
      <c r="G301" s="331">
        <f t="shared" si="44"/>
        <v>5637543.9999999991</v>
      </c>
      <c r="H301" s="416"/>
      <c r="I301" s="416"/>
      <c r="J301" s="221"/>
      <c r="K301" s="220"/>
      <c r="L301" s="220"/>
      <c r="M301" s="220"/>
      <c r="N301" s="220"/>
      <c r="O301" s="222"/>
      <c r="P301" s="220"/>
      <c r="Q301" s="153"/>
      <c r="R301" s="153"/>
      <c r="S301" s="153"/>
      <c r="T301" s="153"/>
    </row>
    <row r="302" spans="1:20" s="34" customFormat="1" hidden="1" outlineLevel="1">
      <c r="A302" s="326"/>
      <c r="B302" s="346" t="s">
        <v>626</v>
      </c>
      <c r="C302" s="328" t="s">
        <v>316</v>
      </c>
      <c r="D302" s="123">
        <v>1</v>
      </c>
      <c r="E302" s="347">
        <v>2.5000000000000001E-2</v>
      </c>
      <c r="F302" s="330">
        <f>SUM(G299:G301)</f>
        <v>18678544</v>
      </c>
      <c r="G302" s="331">
        <f t="shared" ref="G302" si="45">F302*E302*D302</f>
        <v>466963.60000000003</v>
      </c>
      <c r="H302" s="416"/>
      <c r="I302" s="416"/>
      <c r="J302" s="221"/>
      <c r="K302" s="220"/>
      <c r="L302" s="220"/>
      <c r="M302" s="220"/>
      <c r="N302" s="220"/>
      <c r="O302" s="222"/>
      <c r="P302" s="220"/>
      <c r="Q302" s="153"/>
      <c r="R302" s="153"/>
      <c r="S302" s="153"/>
      <c r="T302" s="153"/>
    </row>
    <row r="303" spans="1:20" s="34" customFormat="1" collapsed="1">
      <c r="A303" s="359">
        <f>A298+1</f>
        <v>3008</v>
      </c>
      <c r="B303" s="327" t="s">
        <v>634</v>
      </c>
      <c r="C303" s="328" t="s">
        <v>43</v>
      </c>
      <c r="D303" s="123">
        <v>1</v>
      </c>
      <c r="E303" s="329">
        <f>E283*(7.3+2*1.5)</f>
        <v>13196.977999999999</v>
      </c>
      <c r="F303" s="330">
        <f>F223</f>
        <v>1610</v>
      </c>
      <c r="G303" s="331">
        <f>F303*E303*D303</f>
        <v>21247134.579999998</v>
      </c>
      <c r="H303" s="416"/>
      <c r="I303" s="722">
        <f>G303</f>
        <v>21247134.579999998</v>
      </c>
      <c r="J303" s="221"/>
      <c r="K303" s="220"/>
      <c r="L303" s="220"/>
      <c r="M303" s="220"/>
      <c r="N303" s="220"/>
      <c r="O303" s="222"/>
      <c r="P303" s="220"/>
      <c r="Q303" s="153"/>
      <c r="R303" s="153"/>
      <c r="S303" s="153"/>
      <c r="T303" s="153"/>
    </row>
    <row r="304" spans="1:20" s="34" customFormat="1" ht="26.4">
      <c r="A304" s="359">
        <f>A303+1</f>
        <v>3009</v>
      </c>
      <c r="B304" s="327" t="s">
        <v>635</v>
      </c>
      <c r="C304" s="328" t="s">
        <v>606</v>
      </c>
      <c r="D304" s="123">
        <v>1</v>
      </c>
      <c r="E304" s="329">
        <f>$E$283*10*0.25+E286*0.25</f>
        <v>3830.264848726114</v>
      </c>
      <c r="F304" s="330">
        <f>F234</f>
        <v>22670</v>
      </c>
      <c r="G304" s="331">
        <f t="shared" si="43"/>
        <v>86832104.120621011</v>
      </c>
      <c r="H304" s="416"/>
      <c r="I304" s="722">
        <f>G304</f>
        <v>86832104.120621011</v>
      </c>
      <c r="J304" s="221"/>
      <c r="K304" s="220"/>
      <c r="L304" s="220"/>
      <c r="M304" s="220"/>
      <c r="N304" s="220"/>
      <c r="O304" s="222"/>
      <c r="P304" s="220"/>
      <c r="Q304" s="153"/>
      <c r="R304" s="153"/>
      <c r="S304" s="153"/>
      <c r="T304" s="153"/>
    </row>
    <row r="305" spans="1:20" s="34" customFormat="1" ht="26.4">
      <c r="A305" s="359">
        <v>3009</v>
      </c>
      <c r="B305" s="327" t="s">
        <v>636</v>
      </c>
      <c r="C305" s="328" t="s">
        <v>606</v>
      </c>
      <c r="D305" s="123">
        <v>1</v>
      </c>
      <c r="E305" s="329">
        <f>$E$283*7.3*0.2+E286*0.2</f>
        <v>2372.3314789808915</v>
      </c>
      <c r="F305" s="330">
        <f>F244</f>
        <v>53010</v>
      </c>
      <c r="G305" s="331">
        <f t="shared" si="43"/>
        <v>125757291.70077705</v>
      </c>
      <c r="H305" s="416"/>
      <c r="I305" s="722">
        <f t="shared" ref="I305:I307" si="46">G305</f>
        <v>125757291.70077705</v>
      </c>
      <c r="J305" s="221"/>
      <c r="K305" s="220"/>
      <c r="L305" s="220"/>
      <c r="M305" s="220"/>
      <c r="N305" s="220"/>
      <c r="O305" s="222"/>
      <c r="P305" s="220"/>
      <c r="Q305" s="153"/>
      <c r="R305" s="153"/>
      <c r="S305" s="153"/>
      <c r="T305" s="153"/>
    </row>
    <row r="306" spans="1:20" s="34" customFormat="1" ht="26.4">
      <c r="A306" s="359">
        <v>3010</v>
      </c>
      <c r="B306" s="327" t="s">
        <v>637</v>
      </c>
      <c r="C306" s="328" t="s">
        <v>606</v>
      </c>
      <c r="D306" s="123">
        <v>1</v>
      </c>
      <c r="E306" s="329">
        <f>($E$283)*7*0.15+E287*0.15</f>
        <v>1613.8092659235665</v>
      </c>
      <c r="F306" s="330">
        <f>F254</f>
        <v>339590</v>
      </c>
      <c r="G306" s="331">
        <f t="shared" si="43"/>
        <v>548033488.61498392</v>
      </c>
      <c r="H306" s="416"/>
      <c r="I306" s="722">
        <f t="shared" si="46"/>
        <v>548033488.61498392</v>
      </c>
      <c r="K306" s="221">
        <f>E287*0.15</f>
        <v>268.48626592356686</v>
      </c>
      <c r="L306" s="220">
        <f>M306*0.15</f>
        <v>1345.3229999999996</v>
      </c>
      <c r="M306" s="220">
        <f>E283*7</f>
        <v>8968.8199999999979</v>
      </c>
      <c r="N306" s="220"/>
      <c r="O306" s="222"/>
      <c r="P306" s="220"/>
      <c r="Q306" s="153"/>
      <c r="R306" s="153"/>
      <c r="S306" s="153"/>
      <c r="T306" s="153"/>
    </row>
    <row r="307" spans="1:20" s="34" customFormat="1">
      <c r="A307" s="359">
        <v>3011</v>
      </c>
      <c r="B307" s="327" t="s">
        <v>696</v>
      </c>
      <c r="C307" s="328" t="s">
        <v>111</v>
      </c>
      <c r="D307" s="123">
        <v>1</v>
      </c>
      <c r="E307" s="329">
        <f>E283*2+E285+E284</f>
        <v>2835.0199999999995</v>
      </c>
      <c r="F307" s="330">
        <f>F320</f>
        <v>38110</v>
      </c>
      <c r="G307" s="331">
        <f t="shared" ref="G307" si="47">F307*E307*D307</f>
        <v>108042612.19999999</v>
      </c>
      <c r="H307" s="416"/>
      <c r="I307" s="722">
        <f t="shared" si="46"/>
        <v>108042612.19999999</v>
      </c>
      <c r="J307" s="221"/>
      <c r="K307" s="220"/>
      <c r="L307" s="220"/>
      <c r="M307" s="220"/>
      <c r="N307" s="220"/>
      <c r="O307" s="222"/>
      <c r="P307" s="220"/>
      <c r="Q307" s="153"/>
      <c r="R307" s="153"/>
      <c r="S307" s="153"/>
      <c r="T307" s="153"/>
    </row>
    <row r="308" spans="1:20" s="34" customFormat="1" ht="15.6" thickBot="1">
      <c r="A308" s="359">
        <v>3012</v>
      </c>
      <c r="B308" s="327" t="s">
        <v>638</v>
      </c>
      <c r="C308" s="328" t="s">
        <v>606</v>
      </c>
      <c r="D308" s="123">
        <v>1</v>
      </c>
      <c r="E308" s="335">
        <f>SUM(E309:E315)</f>
        <v>406.26800000000003</v>
      </c>
      <c r="F308" s="330"/>
      <c r="G308" s="331"/>
      <c r="H308" s="416"/>
      <c r="I308" s="221"/>
      <c r="J308" s="221"/>
      <c r="K308" s="220"/>
      <c r="L308" s="220"/>
      <c r="M308" s="220"/>
      <c r="N308" s="220"/>
      <c r="O308" s="222"/>
      <c r="P308" s="220"/>
      <c r="Q308" s="153"/>
      <c r="R308" s="153"/>
      <c r="S308" s="153"/>
      <c r="T308" s="153"/>
    </row>
    <row r="309" spans="1:20" s="34" customFormat="1" ht="15.6" thickBot="1">
      <c r="A309" s="326" t="s">
        <v>647</v>
      </c>
      <c r="B309" s="327" t="s">
        <v>615</v>
      </c>
      <c r="C309" s="328" t="s">
        <v>606</v>
      </c>
      <c r="D309" s="123">
        <v>1</v>
      </c>
      <c r="E309" s="329">
        <f>(445.16*$K$309)*0.1</f>
        <v>133.548</v>
      </c>
      <c r="F309" s="330">
        <f>$F$266</f>
        <v>270540</v>
      </c>
      <c r="G309" s="331">
        <f t="shared" si="43"/>
        <v>36130075.920000002</v>
      </c>
      <c r="H309" s="416"/>
      <c r="I309" s="743">
        <f>SUM(G309:G315)</f>
        <v>109911744.72</v>
      </c>
      <c r="J309" s="744">
        <f>I309+I307+I306+I305+I304+I290+I303</f>
        <v>1042522110.613452</v>
      </c>
      <c r="K309" s="527">
        <f>2*1.5</f>
        <v>3</v>
      </c>
      <c r="L309" s="220"/>
      <c r="M309" s="220"/>
      <c r="N309" s="220"/>
      <c r="O309" s="222"/>
      <c r="P309" s="220"/>
      <c r="Q309" s="153"/>
      <c r="R309" s="153"/>
      <c r="S309" s="153"/>
      <c r="T309" s="153"/>
    </row>
    <row r="310" spans="1:20" s="34" customFormat="1" ht="15">
      <c r="A310" s="326" t="s">
        <v>648</v>
      </c>
      <c r="B310" s="327" t="s">
        <v>616</v>
      </c>
      <c r="C310" s="328" t="s">
        <v>606</v>
      </c>
      <c r="D310" s="123">
        <v>1</v>
      </c>
      <c r="E310" s="329">
        <f>(115.84*$K$309)*0.1</f>
        <v>34.752000000000002</v>
      </c>
      <c r="F310" s="330">
        <f t="shared" ref="F310:F315" si="48">$F$266</f>
        <v>270540</v>
      </c>
      <c r="G310" s="331">
        <f t="shared" si="43"/>
        <v>9401806.0800000001</v>
      </c>
      <c r="H310" s="416"/>
      <c r="I310" s="416"/>
      <c r="K310" s="527"/>
      <c r="L310" s="220"/>
      <c r="M310" s="220"/>
      <c r="N310" s="220"/>
      <c r="O310" s="222"/>
      <c r="P310" s="220"/>
      <c r="Q310" s="153"/>
      <c r="R310" s="153"/>
      <c r="S310" s="153"/>
      <c r="T310" s="153"/>
    </row>
    <row r="311" spans="1:20" s="34" customFormat="1" ht="15">
      <c r="A311" s="326" t="s">
        <v>649</v>
      </c>
      <c r="B311" s="327" t="s">
        <v>617</v>
      </c>
      <c r="C311" s="328" t="s">
        <v>606</v>
      </c>
      <c r="D311" s="123">
        <v>1</v>
      </c>
      <c r="E311" s="329">
        <f>(112.6*$K$311)*0.1</f>
        <v>16.889999999999997</v>
      </c>
      <c r="F311" s="330">
        <f t="shared" si="48"/>
        <v>270540</v>
      </c>
      <c r="G311" s="331">
        <f t="shared" si="43"/>
        <v>4569420.5999999996</v>
      </c>
      <c r="H311" s="416"/>
      <c r="I311" s="416"/>
      <c r="K311" s="527">
        <v>1.5</v>
      </c>
      <c r="L311" s="220"/>
      <c r="M311" s="220"/>
      <c r="N311" s="220"/>
      <c r="O311" s="222"/>
      <c r="P311" s="220"/>
      <c r="Q311" s="153"/>
      <c r="R311" s="153"/>
      <c r="S311" s="153"/>
      <c r="T311" s="153"/>
    </row>
    <row r="312" spans="1:20" s="34" customFormat="1" ht="15">
      <c r="A312" s="326" t="s">
        <v>650</v>
      </c>
      <c r="B312" s="327" t="s">
        <v>618</v>
      </c>
      <c r="C312" s="328" t="s">
        <v>606</v>
      </c>
      <c r="D312" s="123">
        <v>1</v>
      </c>
      <c r="E312" s="329">
        <f>(238.65*$K$309)*0.1</f>
        <v>71.595000000000013</v>
      </c>
      <c r="F312" s="330">
        <f t="shared" si="48"/>
        <v>270540</v>
      </c>
      <c r="G312" s="331">
        <f t="shared" si="43"/>
        <v>19369311.300000004</v>
      </c>
      <c r="H312" s="416"/>
      <c r="I312" s="416"/>
      <c r="K312" s="527"/>
      <c r="L312" s="220"/>
      <c r="M312" s="220"/>
      <c r="N312" s="220"/>
      <c r="O312" s="222"/>
      <c r="P312" s="220"/>
      <c r="Q312" s="153"/>
      <c r="R312" s="153"/>
      <c r="S312" s="153"/>
      <c r="T312" s="153"/>
    </row>
    <row r="313" spans="1:20" s="34" customFormat="1" ht="15">
      <c r="A313" s="326" t="s">
        <v>651</v>
      </c>
      <c r="B313" s="327" t="s">
        <v>619</v>
      </c>
      <c r="C313" s="328" t="s">
        <v>606</v>
      </c>
      <c r="D313" s="123">
        <v>1</v>
      </c>
      <c r="E313" s="329">
        <f>(448.3*$K$313)*0.1</f>
        <v>112.075</v>
      </c>
      <c r="F313" s="330">
        <f t="shared" si="48"/>
        <v>270540</v>
      </c>
      <c r="G313" s="331">
        <f t="shared" si="43"/>
        <v>30320770.5</v>
      </c>
      <c r="H313" s="416"/>
      <c r="I313" s="416"/>
      <c r="K313" s="527">
        <f>2.5</f>
        <v>2.5</v>
      </c>
      <c r="L313" s="220"/>
      <c r="M313" s="220"/>
      <c r="N313" s="220"/>
      <c r="O313" s="222"/>
      <c r="P313" s="220"/>
      <c r="Q313" s="153"/>
      <c r="R313" s="153"/>
      <c r="S313" s="153"/>
      <c r="T313" s="153"/>
    </row>
    <row r="314" spans="1:20" s="34" customFormat="1" ht="26.4">
      <c r="A314" s="326" t="s">
        <v>652</v>
      </c>
      <c r="B314" s="327" t="s">
        <v>700</v>
      </c>
      <c r="C314" s="328" t="s">
        <v>606</v>
      </c>
      <c r="D314" s="123">
        <v>1</v>
      </c>
      <c r="E314" s="329">
        <f>(52*$K$314)*0.1</f>
        <v>5.2</v>
      </c>
      <c r="F314" s="330">
        <f t="shared" si="48"/>
        <v>270540</v>
      </c>
      <c r="G314" s="331">
        <f t="shared" si="43"/>
        <v>1406808</v>
      </c>
      <c r="H314" s="416"/>
      <c r="I314" s="416"/>
      <c r="K314" s="527">
        <v>1</v>
      </c>
      <c r="L314" s="220"/>
      <c r="M314" s="220"/>
      <c r="N314" s="220"/>
      <c r="O314" s="222"/>
      <c r="P314" s="220"/>
      <c r="Q314" s="153"/>
      <c r="R314" s="153"/>
      <c r="S314" s="153"/>
      <c r="T314" s="153"/>
    </row>
    <row r="315" spans="1:20" s="34" customFormat="1">
      <c r="A315" s="326" t="s">
        <v>653</v>
      </c>
      <c r="B315" s="327" t="s">
        <v>620</v>
      </c>
      <c r="C315" s="328" t="s">
        <v>43</v>
      </c>
      <c r="D315" s="123">
        <v>1</v>
      </c>
      <c r="E315" s="329">
        <f>(107.36*$K$309)*0.1</f>
        <v>32.207999999999998</v>
      </c>
      <c r="F315" s="330">
        <f t="shared" si="48"/>
        <v>270540</v>
      </c>
      <c r="G315" s="331">
        <f t="shared" si="43"/>
        <v>8713552.3200000003</v>
      </c>
      <c r="H315" s="416"/>
      <c r="I315" s="416"/>
      <c r="J315" s="527"/>
      <c r="K315" s="220"/>
      <c r="L315" s="220"/>
      <c r="M315" s="220"/>
      <c r="N315" s="220"/>
      <c r="O315" s="222"/>
      <c r="P315" s="220"/>
      <c r="Q315" s="153"/>
      <c r="R315" s="153"/>
      <c r="S315" s="153"/>
      <c r="T315" s="153"/>
    </row>
    <row r="316" spans="1:20">
      <c r="A316" s="40"/>
      <c r="B316" s="41"/>
      <c r="C316" s="41"/>
      <c r="D316" s="123"/>
      <c r="E316" s="42"/>
      <c r="F316" s="43"/>
      <c r="G316" s="44">
        <f>SUM(G315,G314,G313,G312,G311,G310,G309,G307,G306,G305,G304,G303,G298,G297,G296,G295,G291,G290,G289)</f>
        <v>1583424029.5431094</v>
      </c>
      <c r="H316" s="416"/>
      <c r="I316" s="416"/>
      <c r="J316" s="133"/>
      <c r="K316" s="406"/>
      <c r="L316" s="406"/>
      <c r="M316" s="406"/>
      <c r="N316" s="406"/>
      <c r="O316" s="133"/>
      <c r="P316" s="406"/>
    </row>
    <row r="317" spans="1:20">
      <c r="A317" s="45" t="s">
        <v>109</v>
      </c>
      <c r="B317" s="46"/>
      <c r="C317" s="46"/>
      <c r="D317" s="67"/>
      <c r="E317" s="48"/>
      <c r="F317" s="49"/>
      <c r="G317" s="50"/>
      <c r="H317" s="416"/>
      <c r="I317" s="416"/>
      <c r="K317" s="406"/>
      <c r="L317" s="406"/>
      <c r="M317" s="406"/>
      <c r="N317" s="406"/>
      <c r="O317" s="133"/>
      <c r="P317" s="406"/>
    </row>
    <row r="318" spans="1:20">
      <c r="A318" s="51" t="s">
        <v>13</v>
      </c>
      <c r="B318" s="52" t="s">
        <v>14</v>
      </c>
      <c r="C318" s="52" t="s">
        <v>15</v>
      </c>
      <c r="D318" s="123"/>
      <c r="E318" s="53" t="s">
        <v>17</v>
      </c>
      <c r="F318" s="54"/>
      <c r="G318" s="20"/>
      <c r="H318" s="416"/>
      <c r="I318" s="416"/>
      <c r="K318" s="406"/>
      <c r="L318" s="406"/>
      <c r="M318" s="406"/>
      <c r="N318" s="406"/>
      <c r="O318" s="133"/>
      <c r="P318" s="406"/>
    </row>
    <row r="319" spans="1:20" ht="39.6">
      <c r="A319" s="422">
        <v>401</v>
      </c>
      <c r="B319" s="365" t="s">
        <v>660</v>
      </c>
      <c r="C319" s="366" t="s">
        <v>110</v>
      </c>
      <c r="D319" s="361">
        <v>1</v>
      </c>
      <c r="E319" s="361">
        <v>3186.85</v>
      </c>
      <c r="F319" s="417">
        <v>7130</v>
      </c>
      <c r="G319" s="398" t="s">
        <v>659</v>
      </c>
      <c r="H319" s="416"/>
      <c r="I319" s="416"/>
      <c r="K319" s="416">
        <v>22722240.5</v>
      </c>
      <c r="L319" s="406"/>
      <c r="M319" s="406"/>
      <c r="N319" s="406"/>
      <c r="O319" s="133"/>
      <c r="P319" s="406"/>
    </row>
    <row r="320" spans="1:20">
      <c r="A320" s="422">
        <v>402</v>
      </c>
      <c r="B320" s="365" t="s">
        <v>661</v>
      </c>
      <c r="C320" s="366" t="s">
        <v>110</v>
      </c>
      <c r="D320" s="361">
        <v>1</v>
      </c>
      <c r="E320" s="361">
        <v>3774.84</v>
      </c>
      <c r="F320" s="417">
        <v>38110</v>
      </c>
      <c r="G320" s="398" t="s">
        <v>659</v>
      </c>
      <c r="H320" s="416"/>
      <c r="I320" s="416"/>
      <c r="K320" s="416">
        <v>143859152.40000001</v>
      </c>
      <c r="L320" s="406"/>
      <c r="M320" s="406"/>
      <c r="N320" s="406"/>
      <c r="O320" s="133"/>
      <c r="P320" s="406"/>
    </row>
    <row r="321" spans="1:16">
      <c r="A321" s="422">
        <v>403</v>
      </c>
      <c r="B321" s="365" t="s">
        <v>662</v>
      </c>
      <c r="C321" s="366" t="s">
        <v>110</v>
      </c>
      <c r="D321" s="361">
        <v>1</v>
      </c>
      <c r="E321" s="361">
        <v>2110</v>
      </c>
      <c r="F321" s="417">
        <v>88020</v>
      </c>
      <c r="G321" s="398" t="s">
        <v>659</v>
      </c>
      <c r="H321" s="416"/>
      <c r="I321" s="416"/>
      <c r="K321" s="416">
        <v>185722200</v>
      </c>
      <c r="L321" s="406"/>
      <c r="M321" s="406"/>
      <c r="N321" s="406"/>
      <c r="O321" s="133"/>
      <c r="P321" s="406"/>
    </row>
    <row r="322" spans="1:16">
      <c r="A322" s="422">
        <v>404</v>
      </c>
      <c r="B322" s="365" t="s">
        <v>663</v>
      </c>
      <c r="C322" s="366" t="s">
        <v>110</v>
      </c>
      <c r="D322" s="361">
        <v>1</v>
      </c>
      <c r="E322" s="361">
        <v>185.85</v>
      </c>
      <c r="F322" s="417">
        <v>98090</v>
      </c>
      <c r="G322" s="398" t="s">
        <v>659</v>
      </c>
      <c r="H322" s="416"/>
      <c r="I322" s="416"/>
      <c r="K322" s="416">
        <v>18230026.5</v>
      </c>
      <c r="L322" s="406"/>
      <c r="M322" s="406"/>
      <c r="N322" s="406"/>
      <c r="O322" s="133"/>
      <c r="P322" s="406"/>
    </row>
    <row r="323" spans="1:16">
      <c r="A323" s="422">
        <v>405</v>
      </c>
      <c r="B323" s="365" t="s">
        <v>664</v>
      </c>
      <c r="C323" s="366" t="s">
        <v>110</v>
      </c>
      <c r="D323" s="361">
        <v>1</v>
      </c>
      <c r="E323" s="361">
        <v>54</v>
      </c>
      <c r="F323" s="417">
        <v>107290</v>
      </c>
      <c r="G323" s="398" t="s">
        <v>659</v>
      </c>
      <c r="H323" s="416"/>
      <c r="I323" s="416"/>
      <c r="K323" s="416">
        <v>5793660</v>
      </c>
      <c r="L323" s="406"/>
      <c r="M323" s="406"/>
      <c r="N323" s="406"/>
      <c r="O323" s="133"/>
      <c r="P323" s="406"/>
    </row>
    <row r="324" spans="1:16">
      <c r="A324" s="422">
        <v>406</v>
      </c>
      <c r="B324" s="365" t="s">
        <v>665</v>
      </c>
      <c r="C324" s="366" t="s">
        <v>110</v>
      </c>
      <c r="D324" s="361">
        <v>1</v>
      </c>
      <c r="E324" s="361">
        <v>71</v>
      </c>
      <c r="F324" s="417">
        <v>119630</v>
      </c>
      <c r="G324" s="398" t="s">
        <v>659</v>
      </c>
      <c r="H324" s="416"/>
      <c r="I324" s="416"/>
      <c r="K324" s="416">
        <v>8493730</v>
      </c>
      <c r="L324" s="406"/>
      <c r="M324" s="406"/>
      <c r="N324" s="406"/>
      <c r="O324" s="133"/>
      <c r="P324" s="406"/>
    </row>
    <row r="325" spans="1:16">
      <c r="A325" s="422">
        <v>407</v>
      </c>
      <c r="B325" s="365" t="s">
        <v>666</v>
      </c>
      <c r="C325" s="366" t="s">
        <v>110</v>
      </c>
      <c r="D325" s="361">
        <v>1</v>
      </c>
      <c r="E325" s="361">
        <v>94</v>
      </c>
      <c r="F325" s="417">
        <v>143620</v>
      </c>
      <c r="G325" s="398" t="s">
        <v>659</v>
      </c>
      <c r="H325" s="416"/>
      <c r="I325" s="416"/>
      <c r="K325" s="416">
        <v>13500280</v>
      </c>
      <c r="L325" s="406"/>
      <c r="M325" s="406"/>
      <c r="N325" s="406"/>
      <c r="O325" s="133"/>
      <c r="P325" s="406"/>
    </row>
    <row r="326" spans="1:16">
      <c r="A326" s="422">
        <v>408</v>
      </c>
      <c r="B326" s="365" t="s">
        <v>667</v>
      </c>
      <c r="C326" s="366" t="s">
        <v>110</v>
      </c>
      <c r="D326" s="361">
        <v>1</v>
      </c>
      <c r="E326" s="361">
        <v>72</v>
      </c>
      <c r="F326" s="417">
        <v>148940</v>
      </c>
      <c r="G326" s="398" t="s">
        <v>659</v>
      </c>
      <c r="H326" s="416"/>
      <c r="I326" s="416"/>
      <c r="K326" s="416">
        <v>10723680</v>
      </c>
      <c r="L326" s="406"/>
      <c r="M326" s="406"/>
      <c r="N326" s="406"/>
      <c r="O326" s="133"/>
      <c r="P326" s="406"/>
    </row>
    <row r="327" spans="1:16">
      <c r="A327" s="422">
        <v>409</v>
      </c>
      <c r="B327" s="365" t="s">
        <v>668</v>
      </c>
      <c r="C327" s="366" t="s">
        <v>61</v>
      </c>
      <c r="D327" s="361">
        <v>1</v>
      </c>
      <c r="E327" s="361">
        <v>110</v>
      </c>
      <c r="F327" s="417">
        <v>458870</v>
      </c>
      <c r="G327" s="398" t="s">
        <v>659</v>
      </c>
      <c r="H327" s="416"/>
      <c r="I327" s="416"/>
      <c r="K327" s="416">
        <v>50475700</v>
      </c>
      <c r="L327" s="406"/>
      <c r="M327" s="406"/>
      <c r="N327" s="406"/>
      <c r="O327" s="133"/>
      <c r="P327" s="406"/>
    </row>
    <row r="328" spans="1:16">
      <c r="A328" s="422">
        <v>410</v>
      </c>
      <c r="B328" s="365" t="s">
        <v>669</v>
      </c>
      <c r="C328" s="366" t="s">
        <v>110</v>
      </c>
      <c r="D328" s="361">
        <v>1</v>
      </c>
      <c r="E328" s="361">
        <v>2110</v>
      </c>
      <c r="F328" s="417">
        <v>58400</v>
      </c>
      <c r="G328" s="398" t="s">
        <v>659</v>
      </c>
      <c r="H328" s="416"/>
      <c r="I328" s="416"/>
      <c r="K328" s="416">
        <v>123224000</v>
      </c>
      <c r="L328" s="406"/>
      <c r="M328" s="406"/>
      <c r="N328" s="406"/>
      <c r="O328" s="133"/>
      <c r="P328" s="406"/>
    </row>
    <row r="329" spans="1:16">
      <c r="A329" s="422">
        <v>411</v>
      </c>
      <c r="B329" s="365" t="s">
        <v>670</v>
      </c>
      <c r="C329" s="366" t="s">
        <v>110</v>
      </c>
      <c r="D329" s="361">
        <v>1</v>
      </c>
      <c r="E329" s="361">
        <v>185</v>
      </c>
      <c r="F329" s="417">
        <v>59310</v>
      </c>
      <c r="G329" s="398" t="s">
        <v>659</v>
      </c>
      <c r="H329" s="416"/>
      <c r="I329" s="416"/>
      <c r="K329" s="416">
        <v>10972350</v>
      </c>
      <c r="L329" s="406"/>
      <c r="M329" s="406"/>
      <c r="N329" s="406"/>
      <c r="O329" s="133"/>
      <c r="P329" s="406"/>
    </row>
    <row r="330" spans="1:16">
      <c r="A330" s="422">
        <v>412</v>
      </c>
      <c r="B330" s="365" t="s">
        <v>671</v>
      </c>
      <c r="C330" s="366" t="s">
        <v>110</v>
      </c>
      <c r="D330" s="361">
        <v>1</v>
      </c>
      <c r="E330" s="361">
        <v>54</v>
      </c>
      <c r="F330" s="417">
        <v>60190</v>
      </c>
      <c r="G330" s="398" t="s">
        <v>659</v>
      </c>
      <c r="H330" s="416"/>
      <c r="I330" s="416"/>
      <c r="K330" s="416">
        <v>3250260</v>
      </c>
      <c r="L330" s="406"/>
      <c r="M330" s="406"/>
      <c r="N330" s="406"/>
      <c r="O330" s="133"/>
      <c r="P330" s="406"/>
    </row>
    <row r="331" spans="1:16">
      <c r="A331" s="422">
        <v>413</v>
      </c>
      <c r="B331" s="365" t="s">
        <v>672</v>
      </c>
      <c r="C331" s="366" t="s">
        <v>110</v>
      </c>
      <c r="D331" s="361">
        <v>1</v>
      </c>
      <c r="E331" s="361">
        <v>71</v>
      </c>
      <c r="F331" s="417">
        <v>84060</v>
      </c>
      <c r="G331" s="398" t="s">
        <v>659</v>
      </c>
      <c r="H331" s="416"/>
      <c r="I331" s="416"/>
      <c r="K331" s="416">
        <v>5968260</v>
      </c>
      <c r="L331" s="406"/>
      <c r="M331" s="406"/>
      <c r="N331" s="406"/>
      <c r="O331" s="133"/>
      <c r="P331" s="406"/>
    </row>
    <row r="332" spans="1:16">
      <c r="A332" s="422">
        <v>414</v>
      </c>
      <c r="B332" s="365" t="s">
        <v>673</v>
      </c>
      <c r="C332" s="366" t="s">
        <v>110</v>
      </c>
      <c r="D332" s="361">
        <v>1</v>
      </c>
      <c r="E332" s="361">
        <v>94</v>
      </c>
      <c r="F332" s="417">
        <v>84770</v>
      </c>
      <c r="G332" s="398" t="s">
        <v>659</v>
      </c>
      <c r="H332" s="416"/>
      <c r="I332" s="416"/>
      <c r="K332" s="416">
        <v>7968380</v>
      </c>
      <c r="L332" s="406"/>
      <c r="M332" s="406"/>
      <c r="N332" s="406"/>
      <c r="O332" s="133"/>
      <c r="P332" s="406"/>
    </row>
    <row r="333" spans="1:16">
      <c r="A333" s="422">
        <v>415</v>
      </c>
      <c r="B333" s="365" t="s">
        <v>674</v>
      </c>
      <c r="C333" s="366" t="s">
        <v>110</v>
      </c>
      <c r="D333" s="361">
        <v>1</v>
      </c>
      <c r="E333" s="361">
        <v>72</v>
      </c>
      <c r="F333" s="417">
        <v>91170</v>
      </c>
      <c r="G333" s="398" t="s">
        <v>659</v>
      </c>
      <c r="H333" s="416"/>
      <c r="I333" s="416"/>
      <c r="K333" s="416">
        <v>6564240</v>
      </c>
      <c r="L333" s="406"/>
      <c r="M333" s="406"/>
      <c r="N333" s="406"/>
      <c r="O333" s="133"/>
      <c r="P333" s="406"/>
    </row>
    <row r="334" spans="1:16">
      <c r="A334" s="422">
        <v>416</v>
      </c>
      <c r="B334" s="365" t="s">
        <v>675</v>
      </c>
      <c r="C334" s="366" t="s">
        <v>110</v>
      </c>
      <c r="D334" s="361">
        <v>1</v>
      </c>
      <c r="E334" s="361">
        <v>255</v>
      </c>
      <c r="F334" s="417">
        <v>91690</v>
      </c>
      <c r="G334" s="398" t="s">
        <v>659</v>
      </c>
      <c r="H334" s="416"/>
      <c r="I334" s="416"/>
      <c r="K334" s="416">
        <v>23380950</v>
      </c>
      <c r="L334" s="406"/>
      <c r="M334" s="406"/>
      <c r="N334" s="406"/>
      <c r="O334" s="133"/>
      <c r="P334" s="406"/>
    </row>
    <row r="335" spans="1:16">
      <c r="A335" s="422">
        <v>417</v>
      </c>
      <c r="B335" s="365" t="s">
        <v>676</v>
      </c>
      <c r="C335" s="366" t="s">
        <v>110</v>
      </c>
      <c r="D335" s="361">
        <v>1</v>
      </c>
      <c r="E335" s="361">
        <v>600</v>
      </c>
      <c r="F335" s="417">
        <v>264860</v>
      </c>
      <c r="G335" s="398" t="s">
        <v>659</v>
      </c>
      <c r="H335" s="416"/>
      <c r="I335" s="416"/>
      <c r="K335" s="416">
        <v>158916000</v>
      </c>
      <c r="L335" s="406"/>
      <c r="M335" s="406"/>
      <c r="N335" s="406"/>
      <c r="O335" s="133"/>
      <c r="P335" s="406"/>
    </row>
    <row r="336" spans="1:16" ht="26.4">
      <c r="A336" s="422">
        <v>418</v>
      </c>
      <c r="B336" s="365" t="s">
        <v>677</v>
      </c>
      <c r="C336" s="366" t="s">
        <v>15</v>
      </c>
      <c r="D336" s="361">
        <v>1</v>
      </c>
      <c r="E336" s="361">
        <v>3</v>
      </c>
      <c r="F336" s="417">
        <v>1795670</v>
      </c>
      <c r="G336" s="398" t="s">
        <v>659</v>
      </c>
      <c r="H336" s="416"/>
      <c r="I336" s="416"/>
      <c r="K336" s="416">
        <v>5387010</v>
      </c>
      <c r="L336" s="406"/>
      <c r="M336" s="406"/>
      <c r="N336" s="406"/>
      <c r="O336" s="133"/>
      <c r="P336" s="406"/>
    </row>
    <row r="337" spans="1:20">
      <c r="A337" s="422">
        <v>419</v>
      </c>
      <c r="B337" s="365" t="s">
        <v>678</v>
      </c>
      <c r="C337" s="366" t="s">
        <v>15</v>
      </c>
      <c r="D337" s="361">
        <v>1</v>
      </c>
      <c r="E337" s="361">
        <v>5</v>
      </c>
      <c r="F337" s="417">
        <v>584390</v>
      </c>
      <c r="G337" s="398" t="s">
        <v>659</v>
      </c>
      <c r="H337" s="416"/>
      <c r="I337" s="416"/>
      <c r="K337" s="416">
        <v>2921950</v>
      </c>
      <c r="L337" s="406"/>
      <c r="M337" s="406"/>
      <c r="N337" s="406"/>
      <c r="O337" s="133"/>
      <c r="P337" s="406"/>
    </row>
    <row r="338" spans="1:20">
      <c r="A338" s="422">
        <v>420</v>
      </c>
      <c r="B338" s="365" t="s">
        <v>680</v>
      </c>
      <c r="C338" s="366" t="s">
        <v>15</v>
      </c>
      <c r="D338" s="361">
        <v>1</v>
      </c>
      <c r="E338" s="361">
        <v>1</v>
      </c>
      <c r="F338" s="417">
        <v>690640</v>
      </c>
      <c r="G338" s="398" t="s">
        <v>659</v>
      </c>
      <c r="H338" s="416"/>
      <c r="I338" s="416"/>
      <c r="K338" s="416">
        <v>690640</v>
      </c>
      <c r="L338" s="406"/>
      <c r="M338" s="406"/>
      <c r="N338" s="406"/>
      <c r="O338" s="133"/>
      <c r="P338" s="406"/>
    </row>
    <row r="339" spans="1:20">
      <c r="A339" s="422">
        <v>421</v>
      </c>
      <c r="B339" s="365" t="s">
        <v>681</v>
      </c>
      <c r="C339" s="366" t="s">
        <v>15</v>
      </c>
      <c r="D339" s="361">
        <v>1</v>
      </c>
      <c r="E339" s="361">
        <v>2</v>
      </c>
      <c r="F339" s="417">
        <v>956270</v>
      </c>
      <c r="G339" s="398" t="s">
        <v>659</v>
      </c>
      <c r="H339" s="416"/>
      <c r="I339" s="416"/>
      <c r="K339" s="416">
        <v>1912540</v>
      </c>
      <c r="L339" s="406"/>
      <c r="M339" s="406"/>
      <c r="N339" s="406"/>
      <c r="O339" s="133"/>
      <c r="P339" s="406"/>
    </row>
    <row r="340" spans="1:20">
      <c r="A340" s="422">
        <v>422</v>
      </c>
      <c r="B340" s="365" t="s">
        <v>682</v>
      </c>
      <c r="C340" s="366" t="s">
        <v>15</v>
      </c>
      <c r="D340" s="361">
        <v>1</v>
      </c>
      <c r="E340" s="361">
        <v>2</v>
      </c>
      <c r="F340" s="417">
        <v>1115650</v>
      </c>
      <c r="G340" s="398" t="s">
        <v>659</v>
      </c>
      <c r="H340" s="416"/>
      <c r="I340" s="416"/>
      <c r="K340" s="416">
        <v>2231300</v>
      </c>
      <c r="L340" s="406"/>
      <c r="M340" s="406"/>
      <c r="N340" s="406"/>
      <c r="O340" s="133"/>
      <c r="P340" s="406"/>
    </row>
    <row r="341" spans="1:20">
      <c r="A341" s="422">
        <v>423</v>
      </c>
      <c r="B341" s="365" t="s">
        <v>683</v>
      </c>
      <c r="C341" s="366" t="s">
        <v>74</v>
      </c>
      <c r="D341" s="361">
        <v>1</v>
      </c>
      <c r="E341" s="361">
        <v>500</v>
      </c>
      <c r="F341" s="417">
        <v>82560</v>
      </c>
      <c r="G341" s="398" t="s">
        <v>659</v>
      </c>
      <c r="H341" s="416"/>
      <c r="I341" s="416"/>
      <c r="K341" s="416">
        <v>41280000</v>
      </c>
      <c r="L341" s="406"/>
      <c r="M341" s="406"/>
      <c r="N341" s="406"/>
      <c r="O341" s="133"/>
      <c r="P341" s="406"/>
    </row>
    <row r="342" spans="1:20">
      <c r="A342" s="422">
        <v>424</v>
      </c>
      <c r="B342" s="365" t="s">
        <v>684</v>
      </c>
      <c r="C342" s="366" t="s">
        <v>110</v>
      </c>
      <c r="D342" s="361">
        <v>1</v>
      </c>
      <c r="E342" s="361">
        <v>255</v>
      </c>
      <c r="F342" s="417">
        <v>962520</v>
      </c>
      <c r="G342" s="398" t="s">
        <v>659</v>
      </c>
      <c r="H342" s="416"/>
      <c r="I342" s="416"/>
      <c r="K342" s="416">
        <v>245442600</v>
      </c>
      <c r="L342" s="133">
        <f>+SUM(K319:K342)</f>
        <v>1099631149.4000001</v>
      </c>
      <c r="M342" s="406"/>
      <c r="N342" s="406"/>
      <c r="O342" s="133"/>
      <c r="P342" s="406"/>
    </row>
    <row r="343" spans="1:20" s="3" customFormat="1" ht="13.8">
      <c r="A343" s="423"/>
      <c r="B343" s="365"/>
      <c r="C343" s="366"/>
      <c r="D343" s="361"/>
      <c r="E343" s="361"/>
      <c r="F343" s="417"/>
      <c r="G343" s="372"/>
      <c r="H343" s="416"/>
      <c r="I343" s="416"/>
      <c r="J343" s="405"/>
      <c r="K343" s="405"/>
      <c r="L343" s="405"/>
      <c r="M343" s="405"/>
      <c r="N343" s="405"/>
      <c r="O343" s="129"/>
      <c r="P343" s="405"/>
      <c r="Q343" s="407"/>
      <c r="R343" s="407"/>
      <c r="S343" s="407"/>
      <c r="T343" s="407"/>
    </row>
    <row r="344" spans="1:20">
      <c r="A344" s="45" t="s">
        <v>750</v>
      </c>
      <c r="B344" s="46"/>
      <c r="C344" s="46"/>
      <c r="D344" s="67"/>
      <c r="E344" s="48"/>
      <c r="F344" s="49"/>
      <c r="G344" s="50"/>
      <c r="H344" s="416"/>
      <c r="I344" s="416"/>
      <c r="J344" s="444">
        <f>E346+E363+E378+E394+E410+E425+E440+E442+E444+E459+E474+E476+E477+E496+E497+E534+E553</f>
        <v>2948.05</v>
      </c>
      <c r="K344" s="406"/>
      <c r="L344" s="476">
        <v>1.2500000000000001E-2</v>
      </c>
      <c r="M344" s="477">
        <v>1.2E-2</v>
      </c>
      <c r="N344" s="406"/>
      <c r="O344" s="133"/>
      <c r="P344" s="406"/>
      <c r="R344" s="478">
        <f>F346/K346</f>
        <v>1.3001247119293347</v>
      </c>
    </row>
    <row r="345" spans="1:20" ht="13.8">
      <c r="A345" s="760">
        <v>501</v>
      </c>
      <c r="B345" s="842" t="s">
        <v>4</v>
      </c>
      <c r="C345" s="52"/>
      <c r="D345" s="123"/>
      <c r="E345" s="53"/>
      <c r="F345" s="54"/>
      <c r="G345" s="20"/>
      <c r="H345" s="416"/>
      <c r="I345" s="416"/>
      <c r="J345" s="444">
        <f>E347+E364+E379+E395+E411+E426+E441+E443+E445+E460+E475+E477+E478+E497+E498+E535+E554</f>
        <v>2693.22</v>
      </c>
      <c r="K345" s="406"/>
      <c r="L345" s="476">
        <v>1.2500000000000001E-2</v>
      </c>
      <c r="M345" s="477">
        <v>1.2E-2</v>
      </c>
      <c r="N345" s="406"/>
      <c r="O345" s="133"/>
      <c r="P345" s="406"/>
      <c r="R345" s="478" t="e">
        <f>F347/K347</f>
        <v>#DIV/0!</v>
      </c>
    </row>
    <row r="346" spans="1:20" ht="26.4">
      <c r="A346" s="761" t="s">
        <v>751</v>
      </c>
      <c r="B346" s="121" t="s">
        <v>213</v>
      </c>
      <c r="C346" s="126" t="s">
        <v>111</v>
      </c>
      <c r="D346" s="123">
        <v>1</v>
      </c>
      <c r="E346" s="123">
        <v>130</v>
      </c>
      <c r="F346" s="124">
        <f>MROUND(O346,10)</f>
        <v>669530</v>
      </c>
      <c r="G346" s="125">
        <f>F346*E346</f>
        <v>87038900</v>
      </c>
      <c r="H346" s="416"/>
      <c r="I346" s="717">
        <f>G346</f>
        <v>87038900</v>
      </c>
      <c r="J346" s="757">
        <f>I346+I362+I363+I378+I393+I394+I410+I443+I444+I459+I474+I477+I496+I497+I515+I534+I553</f>
        <v>1481284749</v>
      </c>
      <c r="K346" s="409">
        <f>SUM(G347:G359)/$E347</f>
        <v>514973.67433808977</v>
      </c>
      <c r="L346" s="409">
        <f>K346*$L$344</f>
        <v>6437.1709292261221</v>
      </c>
      <c r="M346" s="409">
        <f>K346*$M$344</f>
        <v>6179.6840920570776</v>
      </c>
      <c r="N346" s="409">
        <f>SUM(K346:M346)</f>
        <v>527590.52935937291</v>
      </c>
      <c r="O346" s="410">
        <f>N346/$R$346</f>
        <v>669531.12862864579</v>
      </c>
      <c r="P346" s="409">
        <f>O346-N346</f>
        <v>141940.59926927288</v>
      </c>
      <c r="Q346" s="474">
        <f>1-K346/F346</f>
        <v>0.23084301773170768</v>
      </c>
      <c r="R346" s="479">
        <v>0.78800000000000003</v>
      </c>
    </row>
    <row r="347" spans="1:20" hidden="1" outlineLevel="1">
      <c r="A347" s="399"/>
      <c r="B347" s="294" t="s">
        <v>577</v>
      </c>
      <c r="C347" s="295" t="s">
        <v>111</v>
      </c>
      <c r="D347" s="123"/>
      <c r="E347" s="123">
        <f>130+10</f>
        <v>140</v>
      </c>
      <c r="F347" s="124"/>
      <c r="G347" s="125"/>
      <c r="H347" s="416"/>
      <c r="I347" s="717">
        <f t="shared" ref="I347:I408" si="49">G347</f>
        <v>0</v>
      </c>
      <c r="J347" s="528"/>
      <c r="K347" s="409"/>
      <c r="L347" s="409"/>
      <c r="M347" s="409"/>
      <c r="N347" s="409"/>
      <c r="O347" s="410"/>
      <c r="P347" s="409"/>
      <c r="Q347" s="474"/>
    </row>
    <row r="348" spans="1:20" hidden="1" outlineLevel="1">
      <c r="A348" s="399"/>
      <c r="B348" s="84" t="s">
        <v>141</v>
      </c>
      <c r="C348" s="126" t="s">
        <v>65</v>
      </c>
      <c r="D348" s="123">
        <v>1</v>
      </c>
      <c r="E348" s="123">
        <f>(1.9*E347*0.1)*1.1</f>
        <v>29.260000000000005</v>
      </c>
      <c r="F348" s="124">
        <v>100000</v>
      </c>
      <c r="G348" s="125">
        <f>F348*E348*D348</f>
        <v>2926000.0000000005</v>
      </c>
      <c r="H348" s="416"/>
      <c r="I348" s="717">
        <f t="shared" si="49"/>
        <v>2926000.0000000005</v>
      </c>
      <c r="K348" s="406"/>
      <c r="L348" s="406"/>
      <c r="M348" s="406"/>
      <c r="N348" s="406"/>
      <c r="O348" s="133"/>
      <c r="P348" s="406"/>
    </row>
    <row r="349" spans="1:20" hidden="1" outlineLevel="1">
      <c r="A349" s="399"/>
      <c r="B349" s="84" t="s">
        <v>144</v>
      </c>
      <c r="C349" s="126" t="s">
        <v>179</v>
      </c>
      <c r="D349" s="123">
        <v>1</v>
      </c>
      <c r="E349" s="123">
        <f>(1.9*E347*4)*1.05</f>
        <v>1117.2</v>
      </c>
      <c r="F349" s="124">
        <f>13988</f>
        <v>13988</v>
      </c>
      <c r="G349" s="125">
        <f t="shared" ref="G349:G353" si="50">F349*E349*D349</f>
        <v>15627393.600000001</v>
      </c>
      <c r="H349" s="416"/>
      <c r="I349" s="717">
        <f t="shared" si="49"/>
        <v>15627393.600000001</v>
      </c>
      <c r="K349" s="406"/>
      <c r="L349" s="406"/>
      <c r="M349" s="406"/>
      <c r="N349" s="406"/>
      <c r="O349" s="133"/>
      <c r="P349" s="406"/>
    </row>
    <row r="350" spans="1:20" hidden="1" outlineLevel="1">
      <c r="A350" s="399"/>
      <c r="B350" s="84" t="s">
        <v>147</v>
      </c>
      <c r="C350" s="126" t="s">
        <v>94</v>
      </c>
      <c r="D350" s="123">
        <v>1</v>
      </c>
      <c r="E350" s="123">
        <f>E352*80</f>
        <v>13023.36</v>
      </c>
      <c r="F350" s="124">
        <v>700</v>
      </c>
      <c r="G350" s="125">
        <f t="shared" si="50"/>
        <v>9116352</v>
      </c>
      <c r="H350" s="416"/>
      <c r="I350" s="717">
        <f t="shared" si="49"/>
        <v>9116352</v>
      </c>
      <c r="K350" s="406"/>
      <c r="L350" s="406"/>
      <c r="M350" s="406"/>
      <c r="N350" s="406"/>
      <c r="O350" s="133"/>
      <c r="P350" s="406"/>
    </row>
    <row r="351" spans="1:20" hidden="1" outlineLevel="1">
      <c r="A351" s="399"/>
      <c r="B351" s="122" t="s">
        <v>95</v>
      </c>
      <c r="C351" s="126" t="s">
        <v>94</v>
      </c>
      <c r="D351" s="123">
        <v>1</v>
      </c>
      <c r="E351" s="123">
        <f>E350*1.5%</f>
        <v>195.35040000000001</v>
      </c>
      <c r="F351" s="124">
        <f>1500</f>
        <v>1500</v>
      </c>
      <c r="G351" s="125">
        <f t="shared" si="50"/>
        <v>293025.60000000003</v>
      </c>
      <c r="H351" s="416"/>
      <c r="I351" s="717">
        <f t="shared" si="49"/>
        <v>293025.60000000003</v>
      </c>
      <c r="K351" s="406"/>
      <c r="L351" s="406"/>
      <c r="M351" s="406"/>
      <c r="N351" s="406"/>
      <c r="O351" s="133"/>
      <c r="P351" s="406"/>
    </row>
    <row r="352" spans="1:20" hidden="1" outlineLevel="1">
      <c r="A352" s="399"/>
      <c r="B352" s="84" t="s">
        <v>149</v>
      </c>
      <c r="C352" s="126" t="s">
        <v>65</v>
      </c>
      <c r="D352" s="123">
        <v>1</v>
      </c>
      <c r="E352" s="123">
        <f>((1.9*2+1.9)*0.2*E347)*1.02</f>
        <v>162.792</v>
      </c>
      <c r="F352" s="124">
        <f>120000</f>
        <v>120000</v>
      </c>
      <c r="G352" s="125">
        <f t="shared" si="50"/>
        <v>19535040</v>
      </c>
      <c r="H352" s="416"/>
      <c r="I352" s="717">
        <f t="shared" si="49"/>
        <v>19535040</v>
      </c>
      <c r="K352" s="406"/>
      <c r="L352" s="406"/>
      <c r="M352" s="406"/>
      <c r="N352" s="406"/>
      <c r="O352" s="133"/>
      <c r="P352" s="406"/>
    </row>
    <row r="353" spans="1:19" hidden="1" outlineLevel="1">
      <c r="A353" s="399"/>
      <c r="B353" s="243" t="s">
        <v>313</v>
      </c>
      <c r="C353" s="244" t="s">
        <v>43</v>
      </c>
      <c r="D353" s="123">
        <v>1</v>
      </c>
      <c r="E353" s="123">
        <f>E347*(1.9+1.9*2)*1.2</f>
        <v>957.5999999999998</v>
      </c>
      <c r="F353" s="124">
        <f>750</f>
        <v>750</v>
      </c>
      <c r="G353" s="125">
        <f t="shared" si="50"/>
        <v>718199.99999999988</v>
      </c>
      <c r="H353" s="416"/>
      <c r="I353" s="717">
        <f t="shared" si="49"/>
        <v>718199.99999999988</v>
      </c>
      <c r="K353" s="406"/>
      <c r="L353" s="406"/>
      <c r="M353" s="406"/>
      <c r="N353" s="406"/>
      <c r="O353" s="133"/>
      <c r="P353" s="406"/>
    </row>
    <row r="354" spans="1:19" hidden="1" outlineLevel="1">
      <c r="A354" s="399"/>
      <c r="B354" s="84" t="s">
        <v>151</v>
      </c>
      <c r="C354" s="126" t="s">
        <v>152</v>
      </c>
      <c r="D354" s="123">
        <v>1</v>
      </c>
      <c r="E354" s="123">
        <f>(1/0.8)*(E347*1.5*2)</f>
        <v>525</v>
      </c>
      <c r="F354" s="124"/>
      <c r="G354" s="125"/>
      <c r="H354" s="416"/>
      <c r="I354" s="717">
        <f t="shared" si="49"/>
        <v>0</v>
      </c>
      <c r="K354" s="480">
        <f>1/0.8</f>
        <v>1.25</v>
      </c>
      <c r="L354" s="406"/>
      <c r="M354" s="406"/>
      <c r="N354" s="406"/>
      <c r="O354" s="133"/>
      <c r="P354" s="406"/>
    </row>
    <row r="355" spans="1:19" hidden="1" outlineLevel="1">
      <c r="A355" s="399"/>
      <c r="B355" s="122" t="s">
        <v>285</v>
      </c>
      <c r="C355" s="126" t="s">
        <v>152</v>
      </c>
      <c r="D355" s="123">
        <v>1</v>
      </c>
      <c r="E355" s="123">
        <f>ROUNDUP((E354*0.25)/6,0)</f>
        <v>22</v>
      </c>
      <c r="F355" s="124">
        <v>2900</v>
      </c>
      <c r="G355" s="125">
        <f t="shared" ref="G355:G359" si="51">F355*E355*D355</f>
        <v>63800</v>
      </c>
      <c r="H355" s="416"/>
      <c r="I355" s="717">
        <f t="shared" si="49"/>
        <v>63800</v>
      </c>
      <c r="K355" s="481">
        <v>2900</v>
      </c>
      <c r="L355" s="406"/>
      <c r="M355" s="406"/>
      <c r="N355" s="406"/>
      <c r="O355" s="133"/>
      <c r="P355" s="406"/>
    </row>
    <row r="356" spans="1:19" s="214" customFormat="1" hidden="1" outlineLevel="1">
      <c r="A356" s="400"/>
      <c r="B356" s="230" t="s">
        <v>154</v>
      </c>
      <c r="C356" s="33" t="s">
        <v>65</v>
      </c>
      <c r="D356" s="123">
        <v>1</v>
      </c>
      <c r="E356" s="211">
        <f>(E347*1.9*2)*1.2+E358</f>
        <v>973.56</v>
      </c>
      <c r="F356" s="212">
        <f>$K$199</f>
        <v>5021.5015547439907</v>
      </c>
      <c r="G356" s="233">
        <f t="shared" si="51"/>
        <v>4888733.0536365593</v>
      </c>
      <c r="H356" s="416"/>
      <c r="I356" s="717">
        <f t="shared" si="49"/>
        <v>4888733.0536365593</v>
      </c>
      <c r="J356" s="520"/>
      <c r="K356" s="447" t="s">
        <v>310</v>
      </c>
      <c r="L356" s="406"/>
      <c r="M356" s="450"/>
      <c r="N356" s="450"/>
      <c r="O356" s="449"/>
      <c r="P356" s="450"/>
      <c r="R356" s="407"/>
      <c r="S356" s="407"/>
    </row>
    <row r="357" spans="1:19" s="214" customFormat="1" hidden="1" outlineLevel="1">
      <c r="A357" s="400"/>
      <c r="B357" s="230" t="s">
        <v>301</v>
      </c>
      <c r="C357" s="33" t="s">
        <v>65</v>
      </c>
      <c r="D357" s="123">
        <v>1</v>
      </c>
      <c r="E357" s="211">
        <f>E356-(E347*1.9*2)-E358</f>
        <v>106.39999999999992</v>
      </c>
      <c r="F357" s="212">
        <f>F356*1.05</f>
        <v>5272.5766324811902</v>
      </c>
      <c r="G357" s="233">
        <f t="shared" si="51"/>
        <v>561002.15369599825</v>
      </c>
      <c r="H357" s="416"/>
      <c r="I357" s="717">
        <f t="shared" si="49"/>
        <v>561002.15369599825</v>
      </c>
      <c r="J357" s="520"/>
      <c r="K357" s="447" t="s">
        <v>311</v>
      </c>
      <c r="L357" s="406"/>
      <c r="M357" s="450"/>
      <c r="N357" s="450"/>
      <c r="O357" s="449"/>
      <c r="P357" s="450"/>
      <c r="R357" s="407"/>
      <c r="S357" s="407"/>
    </row>
    <row r="358" spans="1:19" s="214" customFormat="1" hidden="1" outlineLevel="1">
      <c r="A358" s="400"/>
      <c r="B358" s="230" t="s">
        <v>229</v>
      </c>
      <c r="C358" s="33" t="s">
        <v>65</v>
      </c>
      <c r="D358" s="123">
        <v>0.5</v>
      </c>
      <c r="E358" s="211">
        <f>(1.9*E347*AVERAGE(1.4,1))*1.05</f>
        <v>335.16</v>
      </c>
      <c r="F358" s="212">
        <f>120000/14</f>
        <v>8571.4285714285706</v>
      </c>
      <c r="G358" s="233">
        <f t="shared" si="51"/>
        <v>1436400</v>
      </c>
      <c r="H358" s="416"/>
      <c r="I358" s="717">
        <f t="shared" si="49"/>
        <v>1436400</v>
      </c>
      <c r="J358" s="520"/>
      <c r="K358" s="482" t="s">
        <v>312</v>
      </c>
      <c r="L358" s="406"/>
      <c r="M358" s="450"/>
      <c r="N358" s="450"/>
      <c r="O358" s="449"/>
      <c r="P358" s="450"/>
      <c r="R358" s="407"/>
      <c r="S358" s="407"/>
    </row>
    <row r="359" spans="1:19" s="214" customFormat="1" hidden="1" outlineLevel="1">
      <c r="A359" s="400"/>
      <c r="B359" s="230" t="s">
        <v>300</v>
      </c>
      <c r="C359" s="17" t="s">
        <v>65</v>
      </c>
      <c r="D359" s="123">
        <v>1</v>
      </c>
      <c r="E359" s="231">
        <f>E352</f>
        <v>162.792</v>
      </c>
      <c r="F359" s="232">
        <f>104000</f>
        <v>104000</v>
      </c>
      <c r="G359" s="233">
        <f t="shared" si="51"/>
        <v>16930368</v>
      </c>
      <c r="H359" s="416"/>
      <c r="I359" s="717">
        <f t="shared" si="49"/>
        <v>16930368</v>
      </c>
      <c r="J359" s="520"/>
      <c r="K359" s="447" t="s">
        <v>286</v>
      </c>
      <c r="L359" s="406"/>
      <c r="M359" s="450"/>
      <c r="N359" s="450"/>
      <c r="O359" s="449"/>
      <c r="P359" s="450"/>
      <c r="R359" s="407"/>
      <c r="S359" s="407"/>
    </row>
    <row r="360" spans="1:19" hidden="1" outlineLevel="1">
      <c r="A360" s="399"/>
      <c r="B360" s="83"/>
      <c r="C360" s="126"/>
      <c r="D360" s="123"/>
      <c r="E360" s="123"/>
      <c r="F360" s="124"/>
      <c r="G360" s="125"/>
      <c r="H360" s="416"/>
      <c r="I360" s="717">
        <f t="shared" si="49"/>
        <v>0</v>
      </c>
      <c r="K360" s="406"/>
      <c r="L360" s="483">
        <v>0.08</v>
      </c>
      <c r="M360" s="406"/>
      <c r="N360" s="406"/>
      <c r="O360" s="133"/>
      <c r="P360" s="406"/>
    </row>
    <row r="361" spans="1:19" ht="26.4" collapsed="1">
      <c r="A361" s="761" t="s">
        <v>752</v>
      </c>
      <c r="B361" s="294" t="s">
        <v>573</v>
      </c>
      <c r="C361" s="126" t="s">
        <v>111</v>
      </c>
      <c r="D361" s="123">
        <f>+E362+E363</f>
        <v>65</v>
      </c>
      <c r="E361" s="123"/>
      <c r="F361" s="124"/>
      <c r="G361" s="125"/>
      <c r="H361" s="416"/>
      <c r="I361" s="717"/>
      <c r="J361" s="406">
        <f>J346+J425+J440</f>
        <v>1590529039</v>
      </c>
      <c r="K361" s="336">
        <f>E346+E362+E363+E378+E393+E394+E410+E459+E496+E534</f>
        <v>2136.65</v>
      </c>
      <c r="L361" s="336">
        <f>E346+E362+E363+E378+E393+E394+E410+E425+E440+E442+E443+E459+E476+E496+E534</f>
        <v>3431.65</v>
      </c>
      <c r="M361" s="336">
        <f>+E444+E474+E477+E497+E515+E553</f>
        <v>80.400000000000006</v>
      </c>
      <c r="N361" s="336">
        <f>E425+E440+E442+E443+E476</f>
        <v>1295</v>
      </c>
      <c r="O361" s="336">
        <f>L361+M361</f>
        <v>3512.05</v>
      </c>
      <c r="P361" s="474"/>
      <c r="Q361" s="474"/>
    </row>
    <row r="362" spans="1:19" ht="26.4" collapsed="1">
      <c r="A362" s="761" t="s">
        <v>753</v>
      </c>
      <c r="B362" s="341" t="s">
        <v>574</v>
      </c>
      <c r="C362" s="126" t="s">
        <v>111</v>
      </c>
      <c r="D362" s="123">
        <v>1</v>
      </c>
      <c r="E362" s="123">
        <v>10</v>
      </c>
      <c r="F362" s="124">
        <f>F346</f>
        <v>669530</v>
      </c>
      <c r="G362" s="125">
        <f>F362*E362</f>
        <v>6695300</v>
      </c>
      <c r="H362" s="416"/>
      <c r="I362" s="717">
        <f>G362</f>
        <v>6695300</v>
      </c>
      <c r="J362" s="529"/>
      <c r="K362" s="758" t="s">
        <v>746</v>
      </c>
      <c r="L362" s="758" t="s">
        <v>747</v>
      </c>
      <c r="M362" s="758" t="s">
        <v>749</v>
      </c>
      <c r="N362" s="758" t="s">
        <v>748</v>
      </c>
      <c r="O362" s="474"/>
      <c r="P362" s="474"/>
      <c r="Q362" s="474"/>
    </row>
    <row r="363" spans="1:19" ht="26.4">
      <c r="A363" s="761" t="s">
        <v>754</v>
      </c>
      <c r="B363" s="294" t="s">
        <v>575</v>
      </c>
      <c r="C363" s="126" t="s">
        <v>111</v>
      </c>
      <c r="D363" s="123">
        <v>1</v>
      </c>
      <c r="E363" s="123">
        <v>55</v>
      </c>
      <c r="F363" s="124">
        <f>MROUND(O363,10)</f>
        <v>957290</v>
      </c>
      <c r="G363" s="125">
        <f>F363*E363</f>
        <v>52650950</v>
      </c>
      <c r="H363" s="416"/>
      <c r="I363" s="717">
        <f>G363</f>
        <v>52650950</v>
      </c>
      <c r="J363" s="529"/>
      <c r="K363" s="409">
        <f>SUM(G364:G375)/$E363</f>
        <v>736302.20037616882</v>
      </c>
      <c r="L363" s="409">
        <f>K363*$L$344</f>
        <v>9203.7775047021114</v>
      </c>
      <c r="M363" s="409">
        <f>K363*$M$344</f>
        <v>8835.6264045140269</v>
      </c>
      <c r="N363" s="409">
        <f>SUM(K363:M363)</f>
        <v>754341.60428538499</v>
      </c>
      <c r="O363" s="410">
        <f>N363/$R$346</f>
        <v>957286.29985454946</v>
      </c>
      <c r="P363" s="409">
        <f>O363-N363</f>
        <v>202944.69556916447</v>
      </c>
      <c r="Q363" s="474">
        <f>1-K363/F363</f>
        <v>0.23084728726282644</v>
      </c>
    </row>
    <row r="364" spans="1:19" hidden="1" outlineLevel="1">
      <c r="A364" s="399"/>
      <c r="B364" s="84" t="s">
        <v>141</v>
      </c>
      <c r="C364" s="126" t="s">
        <v>65</v>
      </c>
      <c r="D364" s="123">
        <v>1</v>
      </c>
      <c r="E364" s="123">
        <f>(3.4*E363*0.1)*1.1</f>
        <v>20.57</v>
      </c>
      <c r="F364" s="124">
        <v>100000</v>
      </c>
      <c r="G364" s="125">
        <f>F364*E364*D364</f>
        <v>2057000</v>
      </c>
      <c r="H364" s="416"/>
      <c r="I364" s="717">
        <f t="shared" si="49"/>
        <v>2057000</v>
      </c>
      <c r="J364" s="529"/>
      <c r="K364" s="406"/>
      <c r="L364" s="406"/>
      <c r="M364" s="406"/>
      <c r="N364" s="406"/>
      <c r="O364" s="133"/>
      <c r="P364" s="406"/>
    </row>
    <row r="365" spans="1:19" hidden="1" outlineLevel="1">
      <c r="A365" s="399"/>
      <c r="B365" s="84" t="s">
        <v>144</v>
      </c>
      <c r="C365" s="126" t="s">
        <v>179</v>
      </c>
      <c r="D365" s="123">
        <v>1</v>
      </c>
      <c r="E365" s="123">
        <f>(2.2*E363*4)*1.05</f>
        <v>508.2000000000001</v>
      </c>
      <c r="F365" s="124">
        <f>13988</f>
        <v>13988</v>
      </c>
      <c r="G365" s="125">
        <f t="shared" ref="G365:G369" si="52">F365*E365*D365</f>
        <v>7108701.6000000015</v>
      </c>
      <c r="H365" s="416"/>
      <c r="I365" s="717">
        <f t="shared" si="49"/>
        <v>7108701.6000000015</v>
      </c>
      <c r="J365" s="529"/>
      <c r="K365" s="406"/>
      <c r="L365" s="406"/>
      <c r="M365" s="406"/>
      <c r="N365" s="406"/>
      <c r="O365" s="133"/>
      <c r="P365" s="406"/>
    </row>
    <row r="366" spans="1:19" hidden="1" outlineLevel="1">
      <c r="A366" s="399"/>
      <c r="B366" s="84" t="s">
        <v>147</v>
      </c>
      <c r="C366" s="126" t="s">
        <v>94</v>
      </c>
      <c r="D366" s="123">
        <v>1</v>
      </c>
      <c r="E366" s="123">
        <f>E368*80</f>
        <v>7001.2800000000016</v>
      </c>
      <c r="F366" s="124">
        <v>700</v>
      </c>
      <c r="G366" s="125">
        <f t="shared" si="52"/>
        <v>4900896.0000000009</v>
      </c>
      <c r="H366" s="416"/>
      <c r="I366" s="717">
        <f t="shared" si="49"/>
        <v>4900896.0000000009</v>
      </c>
      <c r="J366" s="529"/>
      <c r="K366" s="406"/>
      <c r="L366" s="406"/>
      <c r="M366" s="406"/>
      <c r="N366" s="406"/>
      <c r="O366" s="133"/>
      <c r="P366" s="406"/>
    </row>
    <row r="367" spans="1:19" hidden="1" outlineLevel="1">
      <c r="A367" s="399"/>
      <c r="B367" s="122" t="s">
        <v>95</v>
      </c>
      <c r="C367" s="126" t="s">
        <v>94</v>
      </c>
      <c r="D367" s="123">
        <v>1</v>
      </c>
      <c r="E367" s="123">
        <f>E366*1.5%</f>
        <v>105.01920000000003</v>
      </c>
      <c r="F367" s="124">
        <f>1500</f>
        <v>1500</v>
      </c>
      <c r="G367" s="125">
        <f t="shared" si="52"/>
        <v>157528.80000000005</v>
      </c>
      <c r="H367" s="416"/>
      <c r="I367" s="717">
        <f t="shared" si="49"/>
        <v>157528.80000000005</v>
      </c>
      <c r="J367" s="529"/>
      <c r="K367" s="406"/>
      <c r="L367" s="406"/>
      <c r="M367" s="406"/>
      <c r="N367" s="406"/>
      <c r="O367" s="133"/>
      <c r="P367" s="406"/>
    </row>
    <row r="368" spans="1:19" hidden="1" outlineLevel="1">
      <c r="A368" s="399"/>
      <c r="B368" s="84" t="s">
        <v>149</v>
      </c>
      <c r="C368" s="126" t="s">
        <v>65</v>
      </c>
      <c r="D368" s="123">
        <v>1</v>
      </c>
      <c r="E368" s="123">
        <f>((2.2*2+3.4)*0.2*E363)*1.02</f>
        <v>87.51600000000002</v>
      </c>
      <c r="F368" s="124">
        <f>120000</f>
        <v>120000</v>
      </c>
      <c r="G368" s="125">
        <f t="shared" si="52"/>
        <v>10501920.000000002</v>
      </c>
      <c r="H368" s="416"/>
      <c r="I368" s="717">
        <f t="shared" si="49"/>
        <v>10501920.000000002</v>
      </c>
      <c r="J368" s="529"/>
      <c r="K368" s="406"/>
      <c r="L368" s="406"/>
      <c r="M368" s="406"/>
      <c r="N368" s="406"/>
      <c r="O368" s="133"/>
      <c r="P368" s="406"/>
    </row>
    <row r="369" spans="1:19" hidden="1" outlineLevel="1">
      <c r="A369" s="399"/>
      <c r="B369" s="243" t="s">
        <v>313</v>
      </c>
      <c r="C369" s="244" t="s">
        <v>43</v>
      </c>
      <c r="D369" s="123">
        <v>1</v>
      </c>
      <c r="E369" s="123">
        <f>E363*(3.4+2.2*2)*1.2</f>
        <v>514.80000000000007</v>
      </c>
      <c r="F369" s="124">
        <f>750</f>
        <v>750</v>
      </c>
      <c r="G369" s="125">
        <f t="shared" si="52"/>
        <v>386100.00000000006</v>
      </c>
      <c r="H369" s="416"/>
      <c r="I369" s="717">
        <f t="shared" si="49"/>
        <v>386100.00000000006</v>
      </c>
      <c r="J369" s="529"/>
      <c r="K369" s="406"/>
      <c r="L369" s="406"/>
      <c r="M369" s="406"/>
      <c r="N369" s="406"/>
      <c r="O369" s="133"/>
      <c r="P369" s="406"/>
    </row>
    <row r="370" spans="1:19" hidden="1" outlineLevel="1">
      <c r="A370" s="399"/>
      <c r="B370" s="84" t="s">
        <v>151</v>
      </c>
      <c r="C370" s="126" t="s">
        <v>152</v>
      </c>
      <c r="D370" s="123">
        <v>1</v>
      </c>
      <c r="E370" s="123">
        <f>(1/0.8)*(55*2*2)</f>
        <v>275</v>
      </c>
      <c r="F370" s="124"/>
      <c r="G370" s="125"/>
      <c r="H370" s="416"/>
      <c r="I370" s="717">
        <f t="shared" si="49"/>
        <v>0</v>
      </c>
      <c r="J370" s="529"/>
      <c r="K370" s="480">
        <f>1/0.8</f>
        <v>1.25</v>
      </c>
      <c r="L370" s="406"/>
      <c r="M370" s="406"/>
      <c r="N370" s="406"/>
      <c r="O370" s="133"/>
      <c r="P370" s="406"/>
    </row>
    <row r="371" spans="1:19" hidden="1" outlineLevel="1">
      <c r="A371" s="399"/>
      <c r="B371" s="122" t="s">
        <v>285</v>
      </c>
      <c r="C371" s="126" t="s">
        <v>152</v>
      </c>
      <c r="D371" s="123">
        <v>1</v>
      </c>
      <c r="E371" s="123">
        <f>ROUNDUP((E370*0.25)/6,0)</f>
        <v>12</v>
      </c>
      <c r="F371" s="124">
        <v>2900</v>
      </c>
      <c r="G371" s="125">
        <f t="shared" ref="G371:G375" si="53">F371*E371*D371</f>
        <v>34800</v>
      </c>
      <c r="H371" s="416"/>
      <c r="I371" s="717">
        <f t="shared" si="49"/>
        <v>34800</v>
      </c>
      <c r="J371" s="529"/>
      <c r="K371" s="481">
        <v>2900</v>
      </c>
      <c r="L371" s="406"/>
      <c r="M371" s="406"/>
      <c r="N371" s="406"/>
      <c r="O371" s="133"/>
      <c r="P371" s="406"/>
    </row>
    <row r="372" spans="1:19" s="214" customFormat="1" hidden="1" outlineLevel="1">
      <c r="A372" s="400"/>
      <c r="B372" s="230" t="s">
        <v>154</v>
      </c>
      <c r="C372" s="33" t="s">
        <v>65</v>
      </c>
      <c r="D372" s="123">
        <v>1</v>
      </c>
      <c r="E372" s="211">
        <f>(E363*3.4*2.3)*1.2+E374</f>
        <v>751.7399999999999</v>
      </c>
      <c r="F372" s="212">
        <f>$K$199</f>
        <v>5021.5015547439907</v>
      </c>
      <c r="G372" s="233">
        <f t="shared" si="53"/>
        <v>3774863.578763247</v>
      </c>
      <c r="H372" s="416"/>
      <c r="I372" s="717">
        <f t="shared" si="49"/>
        <v>3774863.578763247</v>
      </c>
      <c r="J372" s="529"/>
      <c r="K372" s="447" t="s">
        <v>310</v>
      </c>
      <c r="L372" s="406"/>
      <c r="M372" s="450"/>
      <c r="N372" s="450"/>
      <c r="O372" s="449"/>
      <c r="P372" s="450"/>
      <c r="R372" s="407"/>
      <c r="S372" s="407"/>
    </row>
    <row r="373" spans="1:19" s="214" customFormat="1" hidden="1" outlineLevel="1">
      <c r="A373" s="400"/>
      <c r="B373" s="230" t="s">
        <v>301</v>
      </c>
      <c r="C373" s="33" t="s">
        <v>65</v>
      </c>
      <c r="D373" s="123">
        <v>1</v>
      </c>
      <c r="E373" s="211">
        <f>E372-(E363*3.4*2.3)-E374</f>
        <v>86.019999999999925</v>
      </c>
      <c r="F373" s="212">
        <f>F372*1.05</f>
        <v>5272.5766324811902</v>
      </c>
      <c r="G373" s="233">
        <f t="shared" si="53"/>
        <v>453547.04192603158</v>
      </c>
      <c r="H373" s="416"/>
      <c r="I373" s="717">
        <f t="shared" si="49"/>
        <v>453547.04192603158</v>
      </c>
      <c r="J373" s="529"/>
      <c r="K373" s="447" t="s">
        <v>311</v>
      </c>
      <c r="L373" s="406"/>
      <c r="M373" s="450"/>
      <c r="N373" s="450"/>
      <c r="O373" s="449"/>
      <c r="P373" s="450"/>
      <c r="R373" s="407"/>
      <c r="S373" s="407"/>
    </row>
    <row r="374" spans="1:19" s="214" customFormat="1" hidden="1" outlineLevel="1">
      <c r="A374" s="400"/>
      <c r="B374" s="230" t="s">
        <v>229</v>
      </c>
      <c r="C374" s="33" t="s">
        <v>65</v>
      </c>
      <c r="D374" s="123">
        <v>1</v>
      </c>
      <c r="E374" s="211">
        <f>(3.4*E363*AVERAGE(1.4,1))*1.05</f>
        <v>235.62</v>
      </c>
      <c r="F374" s="212">
        <f>120000/14</f>
        <v>8571.4285714285706</v>
      </c>
      <c r="G374" s="233">
        <f t="shared" si="53"/>
        <v>2019599.9999999998</v>
      </c>
      <c r="H374" s="416"/>
      <c r="I374" s="717">
        <f t="shared" si="49"/>
        <v>2019599.9999999998</v>
      </c>
      <c r="J374" s="529"/>
      <c r="K374" s="482" t="s">
        <v>312</v>
      </c>
      <c r="L374" s="406"/>
      <c r="M374" s="450"/>
      <c r="N374" s="450"/>
      <c r="O374" s="449"/>
      <c r="P374" s="450"/>
      <c r="R374" s="407"/>
      <c r="S374" s="407"/>
    </row>
    <row r="375" spans="1:19" s="214" customFormat="1" hidden="1" outlineLevel="1">
      <c r="A375" s="400"/>
      <c r="B375" s="230" t="s">
        <v>300</v>
      </c>
      <c r="C375" s="17" t="s">
        <v>65</v>
      </c>
      <c r="D375" s="123">
        <v>1</v>
      </c>
      <c r="E375" s="231">
        <f>E368</f>
        <v>87.51600000000002</v>
      </c>
      <c r="F375" s="232">
        <f>104000</f>
        <v>104000</v>
      </c>
      <c r="G375" s="233">
        <f t="shared" si="53"/>
        <v>9101664.0000000019</v>
      </c>
      <c r="H375" s="416"/>
      <c r="I375" s="717">
        <f t="shared" si="49"/>
        <v>9101664.0000000019</v>
      </c>
      <c r="J375" s="529"/>
      <c r="K375" s="447" t="s">
        <v>286</v>
      </c>
      <c r="L375" s="406"/>
      <c r="M375" s="450"/>
      <c r="N375" s="450"/>
      <c r="O375" s="449"/>
      <c r="P375" s="450"/>
      <c r="R375" s="407"/>
      <c r="S375" s="407"/>
    </row>
    <row r="376" spans="1:19" hidden="1" outlineLevel="1">
      <c r="A376" s="399"/>
      <c r="B376" s="83"/>
      <c r="C376" s="126"/>
      <c r="D376" s="123"/>
      <c r="E376" s="123"/>
      <c r="F376" s="124"/>
      <c r="G376" s="125"/>
      <c r="H376" s="416"/>
      <c r="I376" s="717">
        <f t="shared" si="49"/>
        <v>0</v>
      </c>
      <c r="J376" s="529"/>
      <c r="K376" s="406"/>
      <c r="L376" s="483">
        <v>0.08</v>
      </c>
      <c r="M376" s="406"/>
      <c r="N376" s="406"/>
      <c r="O376" s="133"/>
      <c r="P376" s="406"/>
    </row>
    <row r="377" spans="1:19" ht="26.4" collapsed="1">
      <c r="A377" s="761" t="s">
        <v>755</v>
      </c>
      <c r="B377" s="294" t="s">
        <v>576</v>
      </c>
      <c r="C377" s="366" t="s">
        <v>111</v>
      </c>
      <c r="D377" s="123">
        <f>+E378+E393</f>
        <v>416</v>
      </c>
      <c r="E377" s="123"/>
      <c r="F377" s="124"/>
      <c r="G377" s="125"/>
      <c r="H377" s="416"/>
      <c r="I377" s="529"/>
      <c r="J377" s="529"/>
      <c r="K377" s="474"/>
      <c r="L377" s="474"/>
      <c r="M377" s="474"/>
      <c r="N377" s="474"/>
      <c r="O377" s="474"/>
      <c r="P377" s="474"/>
      <c r="Q377" s="474"/>
    </row>
    <row r="378" spans="1:19" ht="26.4">
      <c r="A378" s="761" t="s">
        <v>756</v>
      </c>
      <c r="B378" s="294" t="s">
        <v>578</v>
      </c>
      <c r="C378" s="126" t="s">
        <v>111</v>
      </c>
      <c r="D378" s="123">
        <v>1</v>
      </c>
      <c r="E378" s="123">
        <v>56</v>
      </c>
      <c r="F378" s="124">
        <f>MROUND(O378,10)</f>
        <v>1076600</v>
      </c>
      <c r="G378" s="125">
        <f>F378*E378</f>
        <v>60289600</v>
      </c>
      <c r="H378" s="416"/>
      <c r="I378" s="717">
        <f>G378</f>
        <v>60289600</v>
      </c>
      <c r="J378" s="528" t="s">
        <v>572</v>
      </c>
      <c r="K378" s="409">
        <f>SUM(G379:G391)/$E379</f>
        <v>828074.98498906917</v>
      </c>
      <c r="L378" s="409">
        <f>K378*$L$344</f>
        <v>10350.937312363365</v>
      </c>
      <c r="M378" s="409">
        <f>K378*$M$344</f>
        <v>9936.8998198688296</v>
      </c>
      <c r="N378" s="409">
        <f>SUM(K378:M378)</f>
        <v>848362.82212130143</v>
      </c>
      <c r="O378" s="410">
        <f>N378/$R$346</f>
        <v>1076602.5661437835</v>
      </c>
      <c r="P378" s="409">
        <f>O378-N378</f>
        <v>228239.74402248207</v>
      </c>
      <c r="Q378" s="474">
        <f>1-K378/F378</f>
        <v>0.23084248096872639</v>
      </c>
    </row>
    <row r="379" spans="1:19" hidden="1" outlineLevel="1">
      <c r="A379" s="401"/>
      <c r="B379" s="294" t="s">
        <v>577</v>
      </c>
      <c r="C379" s="295" t="s">
        <v>111</v>
      </c>
      <c r="D379" s="123"/>
      <c r="E379" s="123">
        <f>56+360</f>
        <v>416</v>
      </c>
      <c r="F379" s="124"/>
      <c r="G379" s="125"/>
      <c r="H379" s="416"/>
      <c r="I379" s="717">
        <f t="shared" si="49"/>
        <v>0</v>
      </c>
      <c r="J379" s="528"/>
      <c r="K379" s="409"/>
      <c r="L379" s="409"/>
      <c r="M379" s="409"/>
      <c r="N379" s="409"/>
      <c r="O379" s="410"/>
      <c r="P379" s="409"/>
      <c r="Q379" s="474"/>
    </row>
    <row r="380" spans="1:19" hidden="1" outlineLevel="1">
      <c r="A380" s="401"/>
      <c r="B380" s="84" t="s">
        <v>141</v>
      </c>
      <c r="C380" s="126" t="s">
        <v>65</v>
      </c>
      <c r="D380" s="123">
        <v>1</v>
      </c>
      <c r="E380" s="123">
        <f>(3.4*E379*0.1)*1.1</f>
        <v>155.584</v>
      </c>
      <c r="F380" s="124">
        <v>100000</v>
      </c>
      <c r="G380" s="125">
        <f>F380*E380*D380</f>
        <v>15558400</v>
      </c>
      <c r="H380" s="416"/>
      <c r="I380" s="717">
        <f t="shared" si="49"/>
        <v>15558400</v>
      </c>
      <c r="K380" s="406"/>
      <c r="L380" s="406"/>
      <c r="M380" s="406"/>
      <c r="N380" s="406"/>
      <c r="O380" s="133"/>
      <c r="P380" s="406"/>
    </row>
    <row r="381" spans="1:19" hidden="1" outlineLevel="1">
      <c r="A381" s="401"/>
      <c r="B381" s="84" t="s">
        <v>144</v>
      </c>
      <c r="C381" s="126" t="s">
        <v>179</v>
      </c>
      <c r="D381" s="123">
        <v>1</v>
      </c>
      <c r="E381" s="123">
        <f>(2.2*E379*4)*1.05</f>
        <v>3843.84</v>
      </c>
      <c r="F381" s="124">
        <f>13988</f>
        <v>13988</v>
      </c>
      <c r="G381" s="125">
        <f t="shared" ref="G381:G385" si="54">F381*E381*D381</f>
        <v>53767633.920000002</v>
      </c>
      <c r="H381" s="416"/>
      <c r="I381" s="717">
        <f t="shared" si="49"/>
        <v>53767633.920000002</v>
      </c>
      <c r="K381" s="406"/>
      <c r="L381" s="406"/>
      <c r="M381" s="406"/>
      <c r="N381" s="406"/>
      <c r="O381" s="133"/>
      <c r="P381" s="406"/>
    </row>
    <row r="382" spans="1:19" hidden="1" outlineLevel="1">
      <c r="A382" s="401"/>
      <c r="B382" s="84" t="s">
        <v>147</v>
      </c>
      <c r="C382" s="126" t="s">
        <v>94</v>
      </c>
      <c r="D382" s="123">
        <v>1</v>
      </c>
      <c r="E382" s="123">
        <f>E384*80</f>
        <v>59744.256000000008</v>
      </c>
      <c r="F382" s="124">
        <v>700</v>
      </c>
      <c r="G382" s="125">
        <f t="shared" si="54"/>
        <v>41820979.200000003</v>
      </c>
      <c r="H382" s="416"/>
      <c r="I382" s="717">
        <f t="shared" si="49"/>
        <v>41820979.200000003</v>
      </c>
      <c r="K382" s="406"/>
      <c r="L382" s="406"/>
      <c r="M382" s="406"/>
      <c r="N382" s="406"/>
      <c r="O382" s="133"/>
      <c r="P382" s="406"/>
    </row>
    <row r="383" spans="1:19" hidden="1" outlineLevel="1">
      <c r="A383" s="401"/>
      <c r="B383" s="122" t="s">
        <v>95</v>
      </c>
      <c r="C383" s="126" t="s">
        <v>94</v>
      </c>
      <c r="D383" s="123">
        <v>1</v>
      </c>
      <c r="E383" s="123">
        <f>E382*1.5%</f>
        <v>896.16384000000005</v>
      </c>
      <c r="F383" s="124">
        <f>1500</f>
        <v>1500</v>
      </c>
      <c r="G383" s="125">
        <f t="shared" si="54"/>
        <v>1344245.76</v>
      </c>
      <c r="H383" s="416"/>
      <c r="I383" s="717">
        <f t="shared" si="49"/>
        <v>1344245.76</v>
      </c>
      <c r="K383" s="406"/>
      <c r="L383" s="406"/>
      <c r="M383" s="406"/>
      <c r="N383" s="406"/>
      <c r="O383" s="133"/>
      <c r="P383" s="406"/>
    </row>
    <row r="384" spans="1:19" hidden="1" outlineLevel="1">
      <c r="A384" s="401"/>
      <c r="B384" s="84" t="s">
        <v>149</v>
      </c>
      <c r="C384" s="126" t="s">
        <v>65</v>
      </c>
      <c r="D384" s="123">
        <v>1</v>
      </c>
      <c r="E384" s="123">
        <f>((2.2*2+4.4)*0.2*E379)*1.02</f>
        <v>746.80320000000006</v>
      </c>
      <c r="F384" s="124">
        <f>120000</f>
        <v>120000</v>
      </c>
      <c r="G384" s="125">
        <f t="shared" si="54"/>
        <v>89616384</v>
      </c>
      <c r="H384" s="416"/>
      <c r="I384" s="717">
        <f t="shared" si="49"/>
        <v>89616384</v>
      </c>
      <c r="K384" s="406"/>
      <c r="L384" s="406"/>
      <c r="M384" s="406"/>
      <c r="N384" s="406"/>
      <c r="O384" s="133"/>
      <c r="P384" s="406"/>
    </row>
    <row r="385" spans="1:19" hidden="1" outlineLevel="1">
      <c r="A385" s="401"/>
      <c r="B385" s="243" t="s">
        <v>313</v>
      </c>
      <c r="C385" s="244" t="s">
        <v>43</v>
      </c>
      <c r="D385" s="123">
        <v>1</v>
      </c>
      <c r="E385" s="123">
        <f>E379*(4.4+2.2*2)*1.2</f>
        <v>4392.96</v>
      </c>
      <c r="F385" s="124">
        <f>750</f>
        <v>750</v>
      </c>
      <c r="G385" s="125">
        <f t="shared" si="54"/>
        <v>3294720</v>
      </c>
      <c r="H385" s="416"/>
      <c r="I385" s="717">
        <f t="shared" si="49"/>
        <v>3294720</v>
      </c>
      <c r="K385" s="406"/>
      <c r="L385" s="406"/>
      <c r="M385" s="406"/>
      <c r="N385" s="406"/>
      <c r="O385" s="133"/>
      <c r="P385" s="406"/>
    </row>
    <row r="386" spans="1:19" hidden="1" outlineLevel="1">
      <c r="A386" s="401"/>
      <c r="B386" s="84" t="s">
        <v>151</v>
      </c>
      <c r="C386" s="126" t="s">
        <v>152</v>
      </c>
      <c r="D386" s="123">
        <v>1</v>
      </c>
      <c r="E386" s="123">
        <f>(1/0.8)*(E379*2*2)</f>
        <v>2080</v>
      </c>
      <c r="F386" s="124"/>
      <c r="G386" s="125"/>
      <c r="H386" s="416"/>
      <c r="I386" s="717">
        <f t="shared" si="49"/>
        <v>0</v>
      </c>
      <c r="K386" s="480">
        <f>1/0.8</f>
        <v>1.25</v>
      </c>
      <c r="L386" s="406"/>
      <c r="M386" s="406"/>
      <c r="N386" s="406"/>
      <c r="O386" s="133"/>
      <c r="P386" s="406"/>
    </row>
    <row r="387" spans="1:19" hidden="1" outlineLevel="1">
      <c r="A387" s="401"/>
      <c r="B387" s="122" t="s">
        <v>285</v>
      </c>
      <c r="C387" s="126" t="s">
        <v>152</v>
      </c>
      <c r="D387" s="123">
        <v>1</v>
      </c>
      <c r="E387" s="123">
        <f>ROUNDUP((E386*0.25)/6,0)</f>
        <v>87</v>
      </c>
      <c r="F387" s="124">
        <v>2900</v>
      </c>
      <c r="G387" s="125">
        <f t="shared" ref="G387:G391" si="55">F387*E387*D387</f>
        <v>252300</v>
      </c>
      <c r="H387" s="416"/>
      <c r="I387" s="717">
        <f t="shared" si="49"/>
        <v>252300</v>
      </c>
      <c r="K387" s="481">
        <v>2900</v>
      </c>
      <c r="L387" s="406"/>
      <c r="M387" s="406"/>
      <c r="N387" s="406"/>
      <c r="O387" s="133"/>
      <c r="P387" s="406"/>
    </row>
    <row r="388" spans="1:19" s="214" customFormat="1" hidden="1" outlineLevel="1">
      <c r="A388" s="402"/>
      <c r="B388" s="230" t="s">
        <v>154</v>
      </c>
      <c r="C388" s="33" t="s">
        <v>65</v>
      </c>
      <c r="D388" s="123">
        <v>1</v>
      </c>
      <c r="E388" s="211">
        <f>(E379*4.4*2.3)*1.2+E390</f>
        <v>7358.2079999999996</v>
      </c>
      <c r="F388" s="212">
        <f>$K$199</f>
        <v>5021.5015547439907</v>
      </c>
      <c r="G388" s="233">
        <f t="shared" si="55"/>
        <v>36949252.91212967</v>
      </c>
      <c r="H388" s="416"/>
      <c r="I388" s="717">
        <f t="shared" si="49"/>
        <v>36949252.91212967</v>
      </c>
      <c r="J388" s="520"/>
      <c r="K388" s="447" t="s">
        <v>310</v>
      </c>
      <c r="L388" s="406"/>
      <c r="M388" s="450"/>
      <c r="N388" s="450"/>
      <c r="O388" s="449"/>
      <c r="P388" s="450"/>
      <c r="R388" s="407"/>
      <c r="S388" s="407"/>
    </row>
    <row r="389" spans="1:19" s="214" customFormat="1" hidden="1" outlineLevel="1">
      <c r="A389" s="402"/>
      <c r="B389" s="230" t="s">
        <v>301</v>
      </c>
      <c r="C389" s="33" t="s">
        <v>65</v>
      </c>
      <c r="D389" s="123">
        <v>1</v>
      </c>
      <c r="E389" s="211">
        <f>E388-(E379*4.4*2.3)-E390</f>
        <v>841.98399999999947</v>
      </c>
      <c r="F389" s="212">
        <f>F388*1.05</f>
        <v>5272.5766324811902</v>
      </c>
      <c r="G389" s="233">
        <f t="shared" si="55"/>
        <v>4439425.1633230401</v>
      </c>
      <c r="H389" s="416"/>
      <c r="I389" s="717">
        <f t="shared" si="49"/>
        <v>4439425.1633230401</v>
      </c>
      <c r="J389" s="520"/>
      <c r="K389" s="447" t="s">
        <v>311</v>
      </c>
      <c r="L389" s="406"/>
      <c r="M389" s="450"/>
      <c r="N389" s="450"/>
      <c r="O389" s="449"/>
      <c r="P389" s="450"/>
      <c r="R389" s="407"/>
      <c r="S389" s="407"/>
    </row>
    <row r="390" spans="1:19" s="214" customFormat="1" hidden="1" outlineLevel="1">
      <c r="A390" s="402"/>
      <c r="B390" s="230" t="s">
        <v>229</v>
      </c>
      <c r="C390" s="33" t="s">
        <v>65</v>
      </c>
      <c r="D390" s="123">
        <v>1</v>
      </c>
      <c r="E390" s="211">
        <f>(4.4*E379*AVERAGE(1.4,1))*1.05</f>
        <v>2306.3040000000001</v>
      </c>
      <c r="F390" s="212">
        <f>120000/14</f>
        <v>8571.4285714285706</v>
      </c>
      <c r="G390" s="233">
        <f t="shared" si="55"/>
        <v>19768320</v>
      </c>
      <c r="H390" s="416"/>
      <c r="I390" s="717">
        <f t="shared" si="49"/>
        <v>19768320</v>
      </c>
      <c r="J390" s="520"/>
      <c r="K390" s="482" t="s">
        <v>312</v>
      </c>
      <c r="L390" s="406"/>
      <c r="M390" s="450"/>
      <c r="N390" s="450"/>
      <c r="O390" s="449"/>
      <c r="P390" s="450"/>
      <c r="R390" s="407"/>
      <c r="S390" s="407"/>
    </row>
    <row r="391" spans="1:19" s="214" customFormat="1" hidden="1" outlineLevel="1">
      <c r="A391" s="402"/>
      <c r="B391" s="230" t="s">
        <v>300</v>
      </c>
      <c r="C391" s="17" t="s">
        <v>65</v>
      </c>
      <c r="D391" s="123">
        <v>1</v>
      </c>
      <c r="E391" s="231">
        <f>E384</f>
        <v>746.80320000000006</v>
      </c>
      <c r="F391" s="232">
        <f>104000</f>
        <v>104000</v>
      </c>
      <c r="G391" s="233">
        <f t="shared" si="55"/>
        <v>77667532.800000012</v>
      </c>
      <c r="H391" s="416"/>
      <c r="I391" s="717">
        <f t="shared" si="49"/>
        <v>77667532.800000012</v>
      </c>
      <c r="J391" s="520"/>
      <c r="K391" s="447" t="s">
        <v>286</v>
      </c>
      <c r="L391" s="406"/>
      <c r="M391" s="450"/>
      <c r="N391" s="450"/>
      <c r="O391" s="449"/>
      <c r="P391" s="450"/>
      <c r="R391" s="407"/>
      <c r="S391" s="407"/>
    </row>
    <row r="392" spans="1:19" hidden="1" outlineLevel="1">
      <c r="A392" s="401"/>
      <c r="B392" s="83"/>
      <c r="C392" s="126"/>
      <c r="D392" s="123"/>
      <c r="E392" s="123"/>
      <c r="F392" s="124"/>
      <c r="G392" s="125"/>
      <c r="H392" s="416"/>
      <c r="I392" s="717">
        <f t="shared" si="49"/>
        <v>0</v>
      </c>
      <c r="K392" s="406"/>
      <c r="L392" s="483">
        <v>0.08</v>
      </c>
      <c r="M392" s="406"/>
      <c r="N392" s="406"/>
      <c r="O392" s="133"/>
      <c r="P392" s="406"/>
    </row>
    <row r="393" spans="1:19" ht="39.6" collapsed="1">
      <c r="A393" s="761" t="s">
        <v>757</v>
      </c>
      <c r="B393" s="759" t="s">
        <v>779</v>
      </c>
      <c r="C393" s="126" t="s">
        <v>111</v>
      </c>
      <c r="D393" s="123">
        <v>1</v>
      </c>
      <c r="E393" s="123">
        <f>360</f>
        <v>360</v>
      </c>
      <c r="F393" s="124">
        <f>F378</f>
        <v>1076600</v>
      </c>
      <c r="G393" s="125">
        <f>F393*E393</f>
        <v>387576000</v>
      </c>
      <c r="H393" s="416"/>
      <c r="I393" s="717">
        <f>G393</f>
        <v>387576000</v>
      </c>
      <c r="J393" s="407"/>
      <c r="K393" s="407"/>
      <c r="L393" s="407"/>
      <c r="M393" s="407"/>
      <c r="N393" s="407"/>
      <c r="O393" s="407"/>
      <c r="P393" s="407"/>
    </row>
    <row r="394" spans="1:19" ht="39.6">
      <c r="A394" s="761" t="s">
        <v>773</v>
      </c>
      <c r="B394" s="294" t="s">
        <v>579</v>
      </c>
      <c r="C394" s="126" t="s">
        <v>111</v>
      </c>
      <c r="D394" s="123">
        <v>1</v>
      </c>
      <c r="E394" s="123">
        <f>E395</f>
        <v>210</v>
      </c>
      <c r="F394" s="124">
        <f>MROUND(O394,10)</f>
        <v>1157730</v>
      </c>
      <c r="G394" s="125">
        <f>F394*E394</f>
        <v>243123300</v>
      </c>
      <c r="H394" s="416"/>
      <c r="I394" s="717">
        <f>G394</f>
        <v>243123300</v>
      </c>
      <c r="K394" s="409">
        <f>SUM(G395:G407)/$E395</f>
        <v>890475.6244025788</v>
      </c>
      <c r="L394" s="409">
        <f>K394*$L$344</f>
        <v>11130.945305032235</v>
      </c>
      <c r="M394" s="409">
        <f>K394*$M$344</f>
        <v>10685.707492830947</v>
      </c>
      <c r="N394" s="409">
        <f>SUM(K394:M394)</f>
        <v>912292.27720044192</v>
      </c>
      <c r="O394" s="410">
        <f>N394/$R$346</f>
        <v>1157731.3162442157</v>
      </c>
      <c r="P394" s="409">
        <f>O394-N394</f>
        <v>245439.03904377378</v>
      </c>
      <c r="Q394" s="474">
        <f>1-K394/F394</f>
        <v>0.23084343983262179</v>
      </c>
    </row>
    <row r="395" spans="1:19" hidden="1" outlineLevel="1">
      <c r="A395" s="401"/>
      <c r="B395" s="294" t="s">
        <v>577</v>
      </c>
      <c r="C395" s="295" t="s">
        <v>111</v>
      </c>
      <c r="D395" s="123"/>
      <c r="E395" s="123">
        <f>210</f>
        <v>210</v>
      </c>
      <c r="F395" s="124"/>
      <c r="G395" s="125"/>
      <c r="H395" s="416"/>
      <c r="I395" s="717">
        <f t="shared" si="49"/>
        <v>0</v>
      </c>
      <c r="J395" s="528"/>
      <c r="K395" s="409"/>
      <c r="L395" s="409"/>
      <c r="M395" s="409"/>
      <c r="N395" s="409"/>
      <c r="O395" s="410"/>
      <c r="P395" s="409"/>
      <c r="Q395" s="474"/>
    </row>
    <row r="396" spans="1:19" hidden="1" outlineLevel="1">
      <c r="A396" s="401"/>
      <c r="B396" s="84" t="s">
        <v>141</v>
      </c>
      <c r="C396" s="126" t="s">
        <v>65</v>
      </c>
      <c r="D396" s="123">
        <v>1</v>
      </c>
      <c r="E396" s="123">
        <f>(4.9*E395*0.1)*1.1</f>
        <v>113.19000000000001</v>
      </c>
      <c r="F396" s="124">
        <v>100000</v>
      </c>
      <c r="G396" s="125">
        <f>F396*E396*D396</f>
        <v>11319000.000000002</v>
      </c>
      <c r="H396" s="416"/>
      <c r="I396" s="717">
        <f t="shared" si="49"/>
        <v>11319000.000000002</v>
      </c>
      <c r="K396" s="406"/>
      <c r="L396" s="406"/>
      <c r="M396" s="406"/>
      <c r="N396" s="406"/>
      <c r="O396" s="133"/>
      <c r="P396" s="406"/>
    </row>
    <row r="397" spans="1:19" hidden="1" outlineLevel="1">
      <c r="A397" s="401"/>
      <c r="B397" s="84" t="s">
        <v>144</v>
      </c>
      <c r="C397" s="126" t="s">
        <v>179</v>
      </c>
      <c r="D397" s="123">
        <v>1</v>
      </c>
      <c r="E397" s="123">
        <f>(2.2*E395*4)*1.05</f>
        <v>1940.4000000000003</v>
      </c>
      <c r="F397" s="124">
        <f>13988</f>
        <v>13988</v>
      </c>
      <c r="G397" s="125">
        <f t="shared" ref="G397:G401" si="56">F397*E397*D397</f>
        <v>27142315.200000003</v>
      </c>
      <c r="H397" s="416"/>
      <c r="I397" s="717">
        <f t="shared" si="49"/>
        <v>27142315.200000003</v>
      </c>
      <c r="K397" s="406"/>
      <c r="L397" s="406"/>
      <c r="M397" s="406"/>
      <c r="N397" s="406"/>
      <c r="O397" s="133"/>
      <c r="P397" s="406"/>
    </row>
    <row r="398" spans="1:19" hidden="1" outlineLevel="1">
      <c r="A398" s="401"/>
      <c r="B398" s="84" t="s">
        <v>147</v>
      </c>
      <c r="C398" s="126" t="s">
        <v>94</v>
      </c>
      <c r="D398" s="123">
        <v>1</v>
      </c>
      <c r="E398" s="123">
        <f>E400*80</f>
        <v>31872.960000000006</v>
      </c>
      <c r="F398" s="124">
        <v>700</v>
      </c>
      <c r="G398" s="125">
        <f t="shared" si="56"/>
        <v>22311072.000000004</v>
      </c>
      <c r="H398" s="416"/>
      <c r="I398" s="717">
        <f t="shared" si="49"/>
        <v>22311072.000000004</v>
      </c>
      <c r="K398" s="406"/>
      <c r="L398" s="406"/>
      <c r="M398" s="406"/>
      <c r="N398" s="406"/>
      <c r="O398" s="133"/>
      <c r="P398" s="406"/>
    </row>
    <row r="399" spans="1:19" hidden="1" outlineLevel="1">
      <c r="A399" s="401"/>
      <c r="B399" s="122" t="s">
        <v>95</v>
      </c>
      <c r="C399" s="126" t="s">
        <v>94</v>
      </c>
      <c r="D399" s="123">
        <v>1</v>
      </c>
      <c r="E399" s="123">
        <f>E398*1.5%</f>
        <v>478.09440000000006</v>
      </c>
      <c r="F399" s="124">
        <f>1500</f>
        <v>1500</v>
      </c>
      <c r="G399" s="125">
        <f t="shared" si="56"/>
        <v>717141.60000000009</v>
      </c>
      <c r="H399" s="416"/>
      <c r="I399" s="717">
        <f t="shared" si="49"/>
        <v>717141.60000000009</v>
      </c>
      <c r="K399" s="406"/>
      <c r="L399" s="406"/>
      <c r="M399" s="406"/>
      <c r="N399" s="406"/>
      <c r="O399" s="133"/>
      <c r="P399" s="406"/>
    </row>
    <row r="400" spans="1:19" hidden="1" outlineLevel="1">
      <c r="A400" s="401"/>
      <c r="B400" s="84" t="s">
        <v>149</v>
      </c>
      <c r="C400" s="126" t="s">
        <v>65</v>
      </c>
      <c r="D400" s="123">
        <v>1</v>
      </c>
      <c r="E400" s="123">
        <f>((2.2*2+4.9)*0.2*E395)*1.02</f>
        <v>398.41200000000009</v>
      </c>
      <c r="F400" s="124">
        <f>120000</f>
        <v>120000</v>
      </c>
      <c r="G400" s="125">
        <f t="shared" si="56"/>
        <v>47809440.000000007</v>
      </c>
      <c r="H400" s="416"/>
      <c r="I400" s="717">
        <f t="shared" si="49"/>
        <v>47809440.000000007</v>
      </c>
      <c r="K400" s="406"/>
      <c r="L400" s="406"/>
      <c r="M400" s="406"/>
      <c r="N400" s="406"/>
      <c r="O400" s="133"/>
      <c r="P400" s="406"/>
    </row>
    <row r="401" spans="1:19" hidden="1" outlineLevel="1">
      <c r="A401" s="401"/>
      <c r="B401" s="243" t="s">
        <v>313</v>
      </c>
      <c r="C401" s="244" t="s">
        <v>43</v>
      </c>
      <c r="D401" s="123">
        <v>1</v>
      </c>
      <c r="E401" s="123">
        <f>E395*(4.9+2.2*2)*1.2</f>
        <v>2343.6000000000004</v>
      </c>
      <c r="F401" s="124">
        <f>750</f>
        <v>750</v>
      </c>
      <c r="G401" s="125">
        <f t="shared" si="56"/>
        <v>1757700.0000000002</v>
      </c>
      <c r="H401" s="416"/>
      <c r="I401" s="717">
        <f t="shared" si="49"/>
        <v>1757700.0000000002</v>
      </c>
      <c r="K401" s="406"/>
      <c r="L401" s="406"/>
      <c r="M401" s="406"/>
      <c r="N401" s="406"/>
      <c r="O401" s="133"/>
      <c r="P401" s="406"/>
    </row>
    <row r="402" spans="1:19" hidden="1" outlineLevel="1">
      <c r="A402" s="401"/>
      <c r="B402" s="84" t="s">
        <v>151</v>
      </c>
      <c r="C402" s="126" t="s">
        <v>152</v>
      </c>
      <c r="D402" s="123">
        <v>1</v>
      </c>
      <c r="E402" s="123">
        <f>(1/0.8)*(E395*2*2)</f>
        <v>1050</v>
      </c>
      <c r="F402" s="124"/>
      <c r="G402" s="125"/>
      <c r="H402" s="416"/>
      <c r="I402" s="717">
        <f t="shared" si="49"/>
        <v>0</v>
      </c>
      <c r="K402" s="480">
        <f>1/0.8</f>
        <v>1.25</v>
      </c>
      <c r="L402" s="406"/>
      <c r="M402" s="406"/>
      <c r="N402" s="406"/>
      <c r="O402" s="133"/>
      <c r="P402" s="406"/>
    </row>
    <row r="403" spans="1:19" hidden="1" outlineLevel="1">
      <c r="A403" s="401"/>
      <c r="B403" s="122" t="s">
        <v>285</v>
      </c>
      <c r="C403" s="126" t="s">
        <v>152</v>
      </c>
      <c r="D403" s="123">
        <v>1</v>
      </c>
      <c r="E403" s="123">
        <f>ROUNDUP((E402*0.25)/6,0)</f>
        <v>44</v>
      </c>
      <c r="F403" s="124">
        <v>2900</v>
      </c>
      <c r="G403" s="125">
        <f t="shared" ref="G403:G407" si="57">F403*E403*D403</f>
        <v>127600</v>
      </c>
      <c r="H403" s="416"/>
      <c r="I403" s="717">
        <f t="shared" si="49"/>
        <v>127600</v>
      </c>
      <c r="K403" s="481">
        <v>2900</v>
      </c>
      <c r="L403" s="406"/>
      <c r="M403" s="406"/>
      <c r="N403" s="406"/>
      <c r="O403" s="133"/>
      <c r="P403" s="406"/>
    </row>
    <row r="404" spans="1:19" s="214" customFormat="1" hidden="1" outlineLevel="1">
      <c r="A404" s="402"/>
      <c r="B404" s="230" t="s">
        <v>154</v>
      </c>
      <c r="C404" s="33" t="s">
        <v>65</v>
      </c>
      <c r="D404" s="123">
        <v>1</v>
      </c>
      <c r="E404" s="211">
        <f>(E395*4.9*2.3)*1.2+E406</f>
        <v>4136.58</v>
      </c>
      <c r="F404" s="212">
        <f>$K$199</f>
        <v>5021.5015547439907</v>
      </c>
      <c r="G404" s="233">
        <f t="shared" si="57"/>
        <v>20771842.901322898</v>
      </c>
      <c r="H404" s="416"/>
      <c r="I404" s="717">
        <f t="shared" si="49"/>
        <v>20771842.901322898</v>
      </c>
      <c r="J404" s="520"/>
      <c r="K404" s="447" t="s">
        <v>310</v>
      </c>
      <c r="L404" s="406"/>
      <c r="M404" s="450"/>
      <c r="N404" s="450"/>
      <c r="O404" s="449"/>
      <c r="P404" s="450"/>
      <c r="R404" s="407"/>
      <c r="S404" s="407"/>
    </row>
    <row r="405" spans="1:19" s="214" customFormat="1" hidden="1" outlineLevel="1">
      <c r="A405" s="402"/>
      <c r="B405" s="230" t="s">
        <v>301</v>
      </c>
      <c r="C405" s="33" t="s">
        <v>65</v>
      </c>
      <c r="D405" s="123">
        <v>1</v>
      </c>
      <c r="E405" s="211">
        <f>E404-(E395*4.9*2.3)-E406</f>
        <v>473.34000000000015</v>
      </c>
      <c r="F405" s="212">
        <f>F404*1.05</f>
        <v>5272.5766324811902</v>
      </c>
      <c r="G405" s="233">
        <f t="shared" si="57"/>
        <v>2495721.4232186475</v>
      </c>
      <c r="H405" s="416"/>
      <c r="I405" s="717">
        <f t="shared" si="49"/>
        <v>2495721.4232186475</v>
      </c>
      <c r="J405" s="520"/>
      <c r="K405" s="447" t="s">
        <v>311</v>
      </c>
      <c r="L405" s="406"/>
      <c r="M405" s="450"/>
      <c r="N405" s="450"/>
      <c r="O405" s="449"/>
      <c r="P405" s="450"/>
      <c r="R405" s="407"/>
      <c r="S405" s="407"/>
    </row>
    <row r="406" spans="1:19" s="214" customFormat="1" hidden="1" outlineLevel="1">
      <c r="A406" s="402"/>
      <c r="B406" s="230" t="s">
        <v>229</v>
      </c>
      <c r="C406" s="33" t="s">
        <v>65</v>
      </c>
      <c r="D406" s="123">
        <v>1</v>
      </c>
      <c r="E406" s="211">
        <f>(4.9*E395*AVERAGE(1.4,1))*1.05</f>
        <v>1296.54</v>
      </c>
      <c r="F406" s="212">
        <f>120000/14</f>
        <v>8571.4285714285706</v>
      </c>
      <c r="G406" s="233">
        <f t="shared" si="57"/>
        <v>11113199.999999998</v>
      </c>
      <c r="H406" s="416"/>
      <c r="I406" s="717">
        <f t="shared" si="49"/>
        <v>11113199.999999998</v>
      </c>
      <c r="J406" s="520"/>
      <c r="K406" s="482" t="s">
        <v>312</v>
      </c>
      <c r="L406" s="406"/>
      <c r="M406" s="450"/>
      <c r="N406" s="450"/>
      <c r="O406" s="449"/>
      <c r="P406" s="450"/>
      <c r="R406" s="407"/>
      <c r="S406" s="407"/>
    </row>
    <row r="407" spans="1:19" s="214" customFormat="1" hidden="1" outlineLevel="1">
      <c r="A407" s="402"/>
      <c r="B407" s="230" t="s">
        <v>300</v>
      </c>
      <c r="C407" s="17" t="s">
        <v>65</v>
      </c>
      <c r="D407" s="123">
        <v>1</v>
      </c>
      <c r="E407" s="231">
        <f>E400</f>
        <v>398.41200000000009</v>
      </c>
      <c r="F407" s="232">
        <f>104000</f>
        <v>104000</v>
      </c>
      <c r="G407" s="233">
        <f t="shared" si="57"/>
        <v>41434848.000000007</v>
      </c>
      <c r="H407" s="416"/>
      <c r="I407" s="717">
        <f t="shared" si="49"/>
        <v>41434848.000000007</v>
      </c>
      <c r="J407" s="520"/>
      <c r="K407" s="447" t="s">
        <v>286</v>
      </c>
      <c r="L407" s="406"/>
      <c r="M407" s="450"/>
      <c r="N407" s="450"/>
      <c r="O407" s="449"/>
      <c r="P407" s="450"/>
      <c r="R407" s="407"/>
      <c r="S407" s="407"/>
    </row>
    <row r="408" spans="1:19" hidden="1" outlineLevel="1">
      <c r="A408" s="399"/>
      <c r="B408" s="83"/>
      <c r="C408" s="126"/>
      <c r="D408" s="123"/>
      <c r="E408" s="123"/>
      <c r="F408" s="124"/>
      <c r="G408" s="125"/>
      <c r="H408" s="416"/>
      <c r="I408" s="717">
        <f t="shared" si="49"/>
        <v>0</v>
      </c>
      <c r="K408" s="406"/>
      <c r="L408" s="406"/>
      <c r="M408" s="406"/>
      <c r="N408" s="406"/>
      <c r="O408" s="133"/>
      <c r="P408" s="406"/>
    </row>
    <row r="409" spans="1:19" ht="27.6" collapsed="1">
      <c r="A409" s="399">
        <v>502</v>
      </c>
      <c r="B409" s="842" t="s">
        <v>287</v>
      </c>
      <c r="C409" s="52"/>
      <c r="D409" s="123"/>
      <c r="E409" s="53"/>
      <c r="F409" s="54"/>
      <c r="G409" s="20"/>
      <c r="H409" s="416"/>
      <c r="I409" s="405"/>
      <c r="K409" s="406"/>
      <c r="L409" s="483"/>
      <c r="M409" s="406"/>
      <c r="N409" s="406"/>
      <c r="O409" s="133"/>
      <c r="P409" s="406"/>
    </row>
    <row r="410" spans="1:19" ht="27" thickBot="1">
      <c r="A410" s="761" t="s">
        <v>758</v>
      </c>
      <c r="B410" s="341" t="s">
        <v>685</v>
      </c>
      <c r="C410" s="366" t="s">
        <v>111</v>
      </c>
      <c r="D410" s="123">
        <v>1</v>
      </c>
      <c r="E410" s="123">
        <v>35</v>
      </c>
      <c r="F410" s="124">
        <f>MROUND(O410,10)</f>
        <v>698310</v>
      </c>
      <c r="G410" s="125">
        <f>F410*E410</f>
        <v>24440850</v>
      </c>
      <c r="H410" s="416"/>
      <c r="I410" s="717">
        <f>G410</f>
        <v>24440850</v>
      </c>
      <c r="K410" s="409">
        <f>SUM(G411:G423)/$E411</f>
        <v>537109.21382894518</v>
      </c>
      <c r="L410" s="409">
        <f>K410*$L$344</f>
        <v>6713.8651728618152</v>
      </c>
      <c r="M410" s="409">
        <f>K410*$M$344</f>
        <v>6445.3105659473422</v>
      </c>
      <c r="N410" s="409">
        <f>SUM(K410:M410)</f>
        <v>550268.38956775435</v>
      </c>
      <c r="O410" s="410">
        <f>N410/$R$346</f>
        <v>698310.13904537354</v>
      </c>
      <c r="P410" s="409">
        <f>O410-N410</f>
        <v>148041.74947761919</v>
      </c>
      <c r="Q410" s="474">
        <f>1-K410/F410</f>
        <v>0.23084416114770634</v>
      </c>
    </row>
    <row r="411" spans="1:19" hidden="1" outlineLevel="1">
      <c r="A411" s="401"/>
      <c r="B411" s="294" t="s">
        <v>577</v>
      </c>
      <c r="C411" s="295" t="s">
        <v>111</v>
      </c>
      <c r="D411" s="123"/>
      <c r="E411" s="123">
        <f>E410</f>
        <v>35</v>
      </c>
      <c r="F411" s="124"/>
      <c r="G411" s="125"/>
      <c r="H411" s="416"/>
      <c r="I411" s="416"/>
      <c r="J411" s="528"/>
      <c r="K411" s="409"/>
      <c r="L411" s="409"/>
      <c r="M411" s="409"/>
      <c r="N411" s="409"/>
      <c r="O411" s="410"/>
      <c r="P411" s="409"/>
      <c r="Q411" s="474"/>
    </row>
    <row r="412" spans="1:19" hidden="1" outlineLevel="1">
      <c r="A412" s="401"/>
      <c r="B412" s="84" t="s">
        <v>141</v>
      </c>
      <c r="C412" s="126" t="s">
        <v>65</v>
      </c>
      <c r="D412" s="123">
        <v>1</v>
      </c>
      <c r="E412" s="123">
        <f>(2.4*E411*0.1)*1.1</f>
        <v>9.240000000000002</v>
      </c>
      <c r="F412" s="124">
        <v>100000</v>
      </c>
      <c r="G412" s="125">
        <f>F412*E412*D412</f>
        <v>924000.00000000023</v>
      </c>
      <c r="H412" s="416"/>
      <c r="I412" s="416"/>
      <c r="K412" s="406"/>
      <c r="L412" s="406"/>
      <c r="M412" s="406"/>
      <c r="N412" s="406"/>
      <c r="O412" s="133"/>
      <c r="P412" s="406"/>
    </row>
    <row r="413" spans="1:19" hidden="1" outlineLevel="1">
      <c r="A413" s="401"/>
      <c r="B413" s="84" t="s">
        <v>144</v>
      </c>
      <c r="C413" s="126" t="s">
        <v>179</v>
      </c>
      <c r="D413" s="123">
        <v>1</v>
      </c>
      <c r="E413" s="123">
        <f>(1.7*E411*4)*1.05</f>
        <v>249.9</v>
      </c>
      <c r="F413" s="124">
        <f>13988</f>
        <v>13988</v>
      </c>
      <c r="G413" s="125">
        <f t="shared" ref="G413:G417" si="58">F413*E413*D413</f>
        <v>3495601.2</v>
      </c>
      <c r="H413" s="416"/>
      <c r="I413" s="416"/>
      <c r="K413" s="406"/>
      <c r="L413" s="406"/>
      <c r="M413" s="406"/>
      <c r="N413" s="406"/>
      <c r="O413" s="133"/>
      <c r="P413" s="406"/>
    </row>
    <row r="414" spans="1:19" hidden="1" outlineLevel="1">
      <c r="A414" s="401"/>
      <c r="B414" s="84" t="s">
        <v>147</v>
      </c>
      <c r="C414" s="126" t="s">
        <v>94</v>
      </c>
      <c r="D414" s="123">
        <v>1</v>
      </c>
      <c r="E414" s="123">
        <f>E416*80</f>
        <v>3312.9599999999991</v>
      </c>
      <c r="F414" s="124">
        <v>700</v>
      </c>
      <c r="G414" s="125">
        <f t="shared" si="58"/>
        <v>2319071.9999999995</v>
      </c>
      <c r="H414" s="416"/>
      <c r="I414" s="416"/>
      <c r="K414" s="406"/>
      <c r="L414" s="406"/>
      <c r="M414" s="406"/>
      <c r="N414" s="406"/>
      <c r="O414" s="133"/>
      <c r="P414" s="406"/>
    </row>
    <row r="415" spans="1:19" hidden="1" outlineLevel="1">
      <c r="A415" s="401"/>
      <c r="B415" s="122" t="s">
        <v>95</v>
      </c>
      <c r="C415" s="126" t="s">
        <v>94</v>
      </c>
      <c r="D415" s="123">
        <v>1</v>
      </c>
      <c r="E415" s="123">
        <f>E414*1.5%</f>
        <v>49.694399999999987</v>
      </c>
      <c r="F415" s="124">
        <f>1500</f>
        <v>1500</v>
      </c>
      <c r="G415" s="125">
        <f t="shared" si="58"/>
        <v>74541.599999999977</v>
      </c>
      <c r="H415" s="416"/>
      <c r="I415" s="416"/>
      <c r="K415" s="406"/>
      <c r="L415" s="406"/>
      <c r="M415" s="406"/>
      <c r="N415" s="406"/>
      <c r="O415" s="133"/>
      <c r="P415" s="406"/>
    </row>
    <row r="416" spans="1:19" hidden="1" outlineLevel="1">
      <c r="A416" s="401"/>
      <c r="B416" s="84" t="s">
        <v>149</v>
      </c>
      <c r="C416" s="126" t="s">
        <v>65</v>
      </c>
      <c r="D416" s="123">
        <v>1</v>
      </c>
      <c r="E416" s="123">
        <f>((1.7*2+2.4)*0.2*E411)*1.02</f>
        <v>41.411999999999992</v>
      </c>
      <c r="F416" s="124">
        <f>120000</f>
        <v>120000</v>
      </c>
      <c r="G416" s="125">
        <f t="shared" si="58"/>
        <v>4969439.9999999991</v>
      </c>
      <c r="H416" s="416"/>
      <c r="I416" s="416"/>
      <c r="K416" s="406"/>
      <c r="L416" s="406"/>
      <c r="M416" s="406"/>
      <c r="N416" s="406"/>
      <c r="O416" s="133"/>
      <c r="P416" s="406"/>
    </row>
    <row r="417" spans="1:19" hidden="1" outlineLevel="1">
      <c r="A417" s="401"/>
      <c r="B417" s="243" t="s">
        <v>313</v>
      </c>
      <c r="C417" s="244" t="s">
        <v>43</v>
      </c>
      <c r="D417" s="123">
        <v>1</v>
      </c>
      <c r="E417" s="123">
        <f>E411*(2.4+1.7*2)*1.2</f>
        <v>243.6</v>
      </c>
      <c r="F417" s="124">
        <f>750</f>
        <v>750</v>
      </c>
      <c r="G417" s="125">
        <f t="shared" si="58"/>
        <v>182700</v>
      </c>
      <c r="H417" s="416"/>
      <c r="I417" s="416"/>
      <c r="K417" s="406"/>
      <c r="L417" s="406"/>
      <c r="M417" s="406"/>
      <c r="N417" s="406"/>
      <c r="O417" s="133"/>
      <c r="P417" s="406"/>
    </row>
    <row r="418" spans="1:19" hidden="1" outlineLevel="1">
      <c r="A418" s="401"/>
      <c r="B418" s="84" t="s">
        <v>151</v>
      </c>
      <c r="C418" s="126" t="s">
        <v>152</v>
      </c>
      <c r="D418" s="123">
        <v>1</v>
      </c>
      <c r="E418" s="123">
        <f>(1/0.8)*(E411*1.5*2)</f>
        <v>131.25</v>
      </c>
      <c r="F418" s="124"/>
      <c r="G418" s="125"/>
      <c r="H418" s="416"/>
      <c r="I418" s="416"/>
      <c r="K418" s="480">
        <f>1/0.8</f>
        <v>1.25</v>
      </c>
      <c r="L418" s="406"/>
      <c r="M418" s="406"/>
      <c r="N418" s="406"/>
      <c r="O418" s="133"/>
      <c r="P418" s="406"/>
    </row>
    <row r="419" spans="1:19" hidden="1" outlineLevel="1">
      <c r="A419" s="401"/>
      <c r="B419" s="122" t="s">
        <v>285</v>
      </c>
      <c r="C419" s="126" t="s">
        <v>152</v>
      </c>
      <c r="D419" s="123">
        <v>1</v>
      </c>
      <c r="E419" s="123">
        <f>ROUNDUP((E418*0.25)/6,0)</f>
        <v>6</v>
      </c>
      <c r="F419" s="124">
        <v>2900</v>
      </c>
      <c r="G419" s="125">
        <f t="shared" ref="G419:G423" si="59">F419*E419*D419</f>
        <v>17400</v>
      </c>
      <c r="H419" s="416"/>
      <c r="I419" s="416"/>
      <c r="K419" s="481">
        <v>2900</v>
      </c>
      <c r="L419" s="406"/>
      <c r="M419" s="406"/>
      <c r="N419" s="406"/>
      <c r="O419" s="133"/>
      <c r="P419" s="406"/>
    </row>
    <row r="420" spans="1:19" s="214" customFormat="1" hidden="1" outlineLevel="1">
      <c r="A420" s="402"/>
      <c r="B420" s="230" t="s">
        <v>154</v>
      </c>
      <c r="C420" s="33" t="s">
        <v>65</v>
      </c>
      <c r="D420" s="123">
        <v>1</v>
      </c>
      <c r="E420" s="211">
        <f>(E411*2.4*1.8)*1.2+E422</f>
        <v>287.28000000000003</v>
      </c>
      <c r="F420" s="212">
        <f>$K$199</f>
        <v>5021.5015547439907</v>
      </c>
      <c r="G420" s="233">
        <f t="shared" si="59"/>
        <v>1442576.9666468538</v>
      </c>
      <c r="H420" s="416"/>
      <c r="I420" s="416"/>
      <c r="J420" s="520"/>
      <c r="K420" s="447" t="s">
        <v>310</v>
      </c>
      <c r="L420" s="406"/>
      <c r="M420" s="450"/>
      <c r="N420" s="450"/>
      <c r="O420" s="449"/>
      <c r="P420" s="450"/>
      <c r="R420" s="407"/>
      <c r="S420" s="407"/>
    </row>
    <row r="421" spans="1:19" s="214" customFormat="1" hidden="1" outlineLevel="1">
      <c r="A421" s="402"/>
      <c r="B421" s="230" t="s">
        <v>301</v>
      </c>
      <c r="C421" s="33" t="s">
        <v>65</v>
      </c>
      <c r="D421" s="123">
        <v>1</v>
      </c>
      <c r="E421" s="211">
        <f>E420-(E411*2.4*1.8)-E422</f>
        <v>30.240000000000009</v>
      </c>
      <c r="F421" s="212">
        <f>F420*1.05</f>
        <v>5272.5766324811902</v>
      </c>
      <c r="G421" s="233">
        <f t="shared" si="59"/>
        <v>159442.71736623123</v>
      </c>
      <c r="H421" s="416"/>
      <c r="I421" s="416"/>
      <c r="J421" s="520"/>
      <c r="K421" s="447" t="s">
        <v>311</v>
      </c>
      <c r="L421" s="406"/>
      <c r="M421" s="450"/>
      <c r="N421" s="450"/>
      <c r="O421" s="449"/>
      <c r="P421" s="450"/>
      <c r="R421" s="407"/>
      <c r="S421" s="407"/>
    </row>
    <row r="422" spans="1:19" s="214" customFormat="1" hidden="1" outlineLevel="1">
      <c r="A422" s="402"/>
      <c r="B422" s="230" t="s">
        <v>229</v>
      </c>
      <c r="C422" s="33" t="s">
        <v>65</v>
      </c>
      <c r="D422" s="123">
        <v>1</v>
      </c>
      <c r="E422" s="211">
        <f>(2.4*E411*AVERAGE(1.4,1))*1.05</f>
        <v>105.84</v>
      </c>
      <c r="F422" s="212">
        <f>120000/14</f>
        <v>8571.4285714285706</v>
      </c>
      <c r="G422" s="233">
        <f t="shared" si="59"/>
        <v>907200</v>
      </c>
      <c r="H422" s="416"/>
      <c r="I422" s="416"/>
      <c r="J422" s="520"/>
      <c r="K422" s="482" t="s">
        <v>312</v>
      </c>
      <c r="L422" s="406"/>
      <c r="M422" s="450"/>
      <c r="N422" s="450"/>
      <c r="O422" s="449"/>
      <c r="P422" s="450"/>
      <c r="R422" s="407"/>
      <c r="S422" s="407"/>
    </row>
    <row r="423" spans="1:19" s="214" customFormat="1" hidden="1" outlineLevel="1">
      <c r="A423" s="402"/>
      <c r="B423" s="230" t="s">
        <v>300</v>
      </c>
      <c r="C423" s="17" t="s">
        <v>65</v>
      </c>
      <c r="D423" s="123">
        <v>1</v>
      </c>
      <c r="E423" s="231">
        <f>E416</f>
        <v>41.411999999999992</v>
      </c>
      <c r="F423" s="232">
        <f>104000</f>
        <v>104000</v>
      </c>
      <c r="G423" s="233">
        <f t="shared" si="59"/>
        <v>4306847.9999999991</v>
      </c>
      <c r="H423" s="416"/>
      <c r="I423" s="416"/>
      <c r="J423" s="520"/>
      <c r="K423" s="447" t="s">
        <v>286</v>
      </c>
      <c r="L423" s="406"/>
      <c r="M423" s="450"/>
      <c r="N423" s="450"/>
      <c r="O423" s="449"/>
      <c r="P423" s="450"/>
      <c r="R423" s="407"/>
      <c r="S423" s="407"/>
    </row>
    <row r="424" spans="1:19" hidden="1" outlineLevel="1">
      <c r="A424" s="401"/>
      <c r="B424" s="83"/>
      <c r="C424" s="126"/>
      <c r="D424" s="123"/>
      <c r="E424" s="123"/>
      <c r="F424" s="124"/>
      <c r="G424" s="125"/>
      <c r="H424" s="416"/>
      <c r="I424" s="416"/>
      <c r="K424" s="406"/>
      <c r="L424" s="406"/>
      <c r="M424" s="406"/>
      <c r="N424" s="406"/>
      <c r="O424" s="133"/>
      <c r="P424" s="406"/>
    </row>
    <row r="425" spans="1:19" ht="27" collapsed="1" thickBot="1">
      <c r="A425" s="721" t="s">
        <v>759</v>
      </c>
      <c r="B425" s="341" t="s">
        <v>686</v>
      </c>
      <c r="C425" s="126" t="s">
        <v>111</v>
      </c>
      <c r="D425" s="123">
        <v>1</v>
      </c>
      <c r="E425" s="123">
        <v>32</v>
      </c>
      <c r="F425" s="124">
        <f>F321</f>
        <v>88020</v>
      </c>
      <c r="G425" s="125">
        <f>F425*E425</f>
        <v>2816640</v>
      </c>
      <c r="H425" s="416"/>
      <c r="J425" s="743">
        <f>G425</f>
        <v>2816640</v>
      </c>
      <c r="K425" s="409">
        <f>SUM(G426:G439)/$E426</f>
        <v>135469.93847185222</v>
      </c>
      <c r="L425" s="409">
        <f>K425*$L$344</f>
        <v>1693.3742308981527</v>
      </c>
      <c r="M425" s="409">
        <f>K425*$M$344</f>
        <v>1625.6392616622268</v>
      </c>
      <c r="N425" s="409">
        <f>SUM(K425:M425)</f>
        <v>138788.95196441261</v>
      </c>
      <c r="O425" s="410">
        <f>N425/$R$346</f>
        <v>176128.11162996525</v>
      </c>
      <c r="P425" s="409">
        <f>O425-N425</f>
        <v>37339.159665552637</v>
      </c>
      <c r="Q425" s="474">
        <f>1-K425/F425</f>
        <v>-0.53908132778745999</v>
      </c>
    </row>
    <row r="426" spans="1:19" hidden="1" outlineLevel="1">
      <c r="A426" s="367"/>
      <c r="B426" s="294" t="s">
        <v>577</v>
      </c>
      <c r="C426" s="295" t="s">
        <v>111</v>
      </c>
      <c r="D426" s="123">
        <v>1</v>
      </c>
      <c r="E426" s="123">
        <f>32+30+900+155</f>
        <v>1117</v>
      </c>
      <c r="F426" s="124"/>
      <c r="G426" s="125"/>
      <c r="H426" s="416"/>
      <c r="I426" s="416"/>
      <c r="J426" s="528"/>
      <c r="K426" s="409"/>
      <c r="L426" s="409"/>
      <c r="M426" s="409"/>
      <c r="N426" s="409"/>
      <c r="O426" s="410"/>
      <c r="P426" s="409"/>
      <c r="Q426" s="474"/>
    </row>
    <row r="427" spans="1:19" hidden="1" outlineLevel="1">
      <c r="A427" s="367"/>
      <c r="B427" s="84" t="s">
        <v>141</v>
      </c>
      <c r="C427" s="126" t="s">
        <v>65</v>
      </c>
      <c r="D427" s="123">
        <v>1</v>
      </c>
      <c r="E427" s="123">
        <f>(0.8*E426*0.1)*1.05</f>
        <v>93.828000000000017</v>
      </c>
      <c r="F427" s="124">
        <v>100000</v>
      </c>
      <c r="G427" s="125">
        <f>F427*E427*D427</f>
        <v>9382800.0000000019</v>
      </c>
      <c r="H427" s="416"/>
      <c r="I427" s="416"/>
      <c r="K427" s="406"/>
      <c r="L427" s="406"/>
      <c r="M427" s="406"/>
      <c r="N427" s="406"/>
      <c r="O427" s="133"/>
      <c r="P427" s="406"/>
    </row>
    <row r="428" spans="1:19" hidden="1" outlineLevel="1">
      <c r="A428" s="367"/>
      <c r="B428" s="84" t="s">
        <v>144</v>
      </c>
      <c r="C428" s="126" t="s">
        <v>179</v>
      </c>
      <c r="D428" s="123">
        <v>1</v>
      </c>
      <c r="E428" s="123">
        <f>(0.8*E426*4)*1.02</f>
        <v>3645.8880000000004</v>
      </c>
      <c r="F428" s="124">
        <f>13988</f>
        <v>13988</v>
      </c>
      <c r="G428" s="125">
        <f t="shared" ref="G428:G432" si="60">F428*E428*D428</f>
        <v>50998681.344000004</v>
      </c>
      <c r="H428" s="416"/>
      <c r="I428" s="416"/>
      <c r="K428" s="406"/>
      <c r="L428" s="406"/>
      <c r="M428" s="406"/>
      <c r="N428" s="406"/>
      <c r="O428" s="133"/>
      <c r="P428" s="406"/>
    </row>
    <row r="429" spans="1:19" hidden="1" outlineLevel="1">
      <c r="A429" s="367"/>
      <c r="B429" s="84" t="s">
        <v>147</v>
      </c>
      <c r="C429" s="126" t="s">
        <v>94</v>
      </c>
      <c r="D429" s="123">
        <v>1</v>
      </c>
      <c r="E429" s="240">
        <f>E431*40</f>
        <v>16406.496000000003</v>
      </c>
      <c r="F429" s="124">
        <v>700</v>
      </c>
      <c r="G429" s="125">
        <f t="shared" si="60"/>
        <v>11484547.200000001</v>
      </c>
      <c r="H429" s="416"/>
      <c r="I429" s="416"/>
      <c r="K429" s="450">
        <f>E429/E431</f>
        <v>40</v>
      </c>
      <c r="L429" s="406"/>
      <c r="M429" s="406"/>
      <c r="N429" s="406"/>
      <c r="O429" s="133"/>
      <c r="P429" s="406"/>
    </row>
    <row r="430" spans="1:19" hidden="1" outlineLevel="1">
      <c r="A430" s="367"/>
      <c r="B430" s="122" t="s">
        <v>95</v>
      </c>
      <c r="C430" s="126" t="s">
        <v>94</v>
      </c>
      <c r="D430" s="123">
        <v>1</v>
      </c>
      <c r="E430" s="123">
        <f>E429*1.5%</f>
        <v>246.09744000000003</v>
      </c>
      <c r="F430" s="124">
        <f>1500</f>
        <v>1500</v>
      </c>
      <c r="G430" s="125">
        <f t="shared" si="60"/>
        <v>369146.16000000003</v>
      </c>
      <c r="H430" s="416"/>
      <c r="I430" s="416"/>
      <c r="K430" s="406"/>
      <c r="L430" s="406"/>
      <c r="M430" s="406"/>
      <c r="N430" s="406"/>
      <c r="O430" s="133"/>
      <c r="P430" s="406"/>
    </row>
    <row r="431" spans="1:19" hidden="1" outlineLevel="1">
      <c r="A431" s="367"/>
      <c r="B431" s="84" t="s">
        <v>149</v>
      </c>
      <c r="C431" s="126" t="s">
        <v>65</v>
      </c>
      <c r="D431" s="123">
        <v>1</v>
      </c>
      <c r="E431" s="123">
        <f>((0.8*2+0.8)*0.15*E426)*1.02</f>
        <v>410.16240000000005</v>
      </c>
      <c r="F431" s="124">
        <f>120000</f>
        <v>120000</v>
      </c>
      <c r="G431" s="125">
        <f t="shared" si="60"/>
        <v>49219488.000000007</v>
      </c>
      <c r="H431" s="416"/>
      <c r="I431" s="416"/>
      <c r="K431" s="406"/>
      <c r="L431" s="406"/>
      <c r="M431" s="406"/>
      <c r="N431" s="406"/>
      <c r="O431" s="133"/>
      <c r="P431" s="406"/>
    </row>
    <row r="432" spans="1:19" hidden="1" outlineLevel="1">
      <c r="A432" s="367"/>
      <c r="B432" s="243" t="s">
        <v>313</v>
      </c>
      <c r="C432" s="244" t="s">
        <v>43</v>
      </c>
      <c r="D432" s="123">
        <v>1</v>
      </c>
      <c r="E432" s="123">
        <f>E426*(0.8+0.8*2)*1.05</f>
        <v>2814.84</v>
      </c>
      <c r="F432" s="124">
        <f>750</f>
        <v>750</v>
      </c>
      <c r="G432" s="125">
        <f t="shared" si="60"/>
        <v>2111130</v>
      </c>
      <c r="H432" s="416"/>
      <c r="I432" s="416"/>
      <c r="K432" s="406"/>
      <c r="L432" s="406"/>
      <c r="M432" s="406"/>
      <c r="N432" s="406"/>
      <c r="O432" s="133"/>
      <c r="P432" s="406"/>
    </row>
    <row r="433" spans="1:19" hidden="1" outlineLevel="1">
      <c r="A433" s="367"/>
      <c r="B433" s="84" t="s">
        <v>151</v>
      </c>
      <c r="C433" s="126" t="s">
        <v>152</v>
      </c>
      <c r="D433" s="123">
        <v>1</v>
      </c>
      <c r="E433" s="123">
        <f>(1/0.8)*(E426*0.5*2)</f>
        <v>1396.25</v>
      </c>
      <c r="F433" s="124"/>
      <c r="G433" s="125"/>
      <c r="H433" s="416"/>
      <c r="I433" s="416"/>
      <c r="K433" s="484">
        <f>1/0.8</f>
        <v>1.25</v>
      </c>
      <c r="L433" s="406"/>
      <c r="M433" s="406"/>
      <c r="N433" s="406"/>
      <c r="O433" s="133"/>
      <c r="P433" s="406"/>
    </row>
    <row r="434" spans="1:19" hidden="1" outlineLevel="1">
      <c r="A434" s="367"/>
      <c r="B434" s="122" t="s">
        <v>285</v>
      </c>
      <c r="C434" s="126" t="s">
        <v>152</v>
      </c>
      <c r="D434" s="123">
        <v>1</v>
      </c>
      <c r="E434" s="123">
        <f>ROUNDUP((E433*0.25)/6,0)</f>
        <v>59</v>
      </c>
      <c r="F434" s="212">
        <v>2900</v>
      </c>
      <c r="G434" s="125">
        <f t="shared" ref="G434:G438" si="61">F434*E434*D434</f>
        <v>171100</v>
      </c>
      <c r="H434" s="416"/>
      <c r="I434" s="416"/>
      <c r="K434" s="481">
        <v>2900</v>
      </c>
      <c r="L434" s="406"/>
      <c r="M434" s="406"/>
      <c r="N434" s="406"/>
      <c r="O434" s="133"/>
      <c r="P434" s="406"/>
    </row>
    <row r="435" spans="1:19" s="214" customFormat="1" hidden="1" outlineLevel="1">
      <c r="A435" s="367"/>
      <c r="B435" s="230" t="s">
        <v>154</v>
      </c>
      <c r="C435" s="33" t="s">
        <v>65</v>
      </c>
      <c r="D435" s="123">
        <v>1</v>
      </c>
      <c r="E435" s="211">
        <f>(E426*0.8*0.9)*1.1+E437</f>
        <v>2010.6</v>
      </c>
      <c r="F435" s="212">
        <f>$K$199</f>
        <v>5021.5015547439907</v>
      </c>
      <c r="G435" s="233">
        <f t="shared" si="61"/>
        <v>10096231.025968267</v>
      </c>
      <c r="H435" s="416"/>
      <c r="I435" s="416"/>
      <c r="J435" s="520"/>
      <c r="K435" s="447" t="s">
        <v>310</v>
      </c>
      <c r="L435" s="406"/>
      <c r="M435" s="450"/>
      <c r="N435" s="450"/>
      <c r="O435" s="449"/>
      <c r="P435" s="450"/>
      <c r="R435" s="407"/>
      <c r="S435" s="407"/>
    </row>
    <row r="436" spans="1:19" s="214" customFormat="1" hidden="1" outlineLevel="1">
      <c r="A436" s="367"/>
      <c r="B436" s="230" t="s">
        <v>301</v>
      </c>
      <c r="C436" s="33" t="s">
        <v>65</v>
      </c>
      <c r="D436" s="123">
        <v>1</v>
      </c>
      <c r="E436" s="211">
        <f>E435-(E426*0.8*0.9)-E437</f>
        <v>80.423999999999978</v>
      </c>
      <c r="F436" s="212">
        <f>F435*1.05</f>
        <v>5272.5766324811902</v>
      </c>
      <c r="G436" s="233">
        <f t="shared" si="61"/>
        <v>424041.70309066714</v>
      </c>
      <c r="H436" s="416"/>
      <c r="I436" s="416"/>
      <c r="J436" s="520"/>
      <c r="K436" s="447" t="s">
        <v>311</v>
      </c>
      <c r="L436" s="406"/>
      <c r="M436" s="450"/>
      <c r="N436" s="450"/>
      <c r="O436" s="449"/>
      <c r="P436" s="450"/>
      <c r="R436" s="407"/>
      <c r="S436" s="407"/>
    </row>
    <row r="437" spans="1:19" s="214" customFormat="1" hidden="1" outlineLevel="1">
      <c r="A437" s="367"/>
      <c r="B437" s="230" t="s">
        <v>229</v>
      </c>
      <c r="C437" s="33" t="s">
        <v>65</v>
      </c>
      <c r="D437" s="123">
        <v>0</v>
      </c>
      <c r="E437" s="211">
        <f>(0.8*E426*AVERAGE(1.4,1))*1.05</f>
        <v>1125.9359999999999</v>
      </c>
      <c r="F437" s="212">
        <f>120000/14</f>
        <v>8571.4285714285706</v>
      </c>
      <c r="G437" s="233">
        <f t="shared" si="61"/>
        <v>0</v>
      </c>
      <c r="H437" s="416"/>
      <c r="I437" s="416"/>
      <c r="J437" s="520"/>
      <c r="K437" s="482" t="s">
        <v>312</v>
      </c>
      <c r="L437" s="406"/>
      <c r="M437" s="450"/>
      <c r="N437" s="450"/>
      <c r="O437" s="449"/>
      <c r="P437" s="450"/>
      <c r="R437" s="407"/>
      <c r="S437" s="407"/>
    </row>
    <row r="438" spans="1:19" s="214" customFormat="1" hidden="1" outlineLevel="1">
      <c r="A438" s="367"/>
      <c r="B438" s="230" t="s">
        <v>300</v>
      </c>
      <c r="C438" s="17" t="s">
        <v>65</v>
      </c>
      <c r="D438" s="123">
        <v>1</v>
      </c>
      <c r="E438" s="231">
        <f>E431</f>
        <v>410.16240000000005</v>
      </c>
      <c r="F438" s="239">
        <f>104000*40%</f>
        <v>41600</v>
      </c>
      <c r="G438" s="233">
        <f t="shared" si="61"/>
        <v>17062755.840000004</v>
      </c>
      <c r="H438" s="416"/>
      <c r="I438" s="416"/>
      <c r="J438" s="520"/>
      <c r="K438" s="447" t="s">
        <v>286</v>
      </c>
      <c r="L438" s="406"/>
      <c r="M438" s="450"/>
      <c r="N438" s="450"/>
      <c r="O438" s="449"/>
      <c r="P438" s="450"/>
      <c r="R438" s="407"/>
      <c r="S438" s="407"/>
    </row>
    <row r="439" spans="1:19" hidden="1" outlineLevel="1">
      <c r="A439" s="367"/>
      <c r="B439" s="83"/>
      <c r="C439" s="126"/>
      <c r="D439" s="123"/>
      <c r="E439" s="123"/>
      <c r="F439" s="124"/>
      <c r="G439" s="125"/>
      <c r="H439" s="416"/>
      <c r="I439" s="416"/>
      <c r="K439" s="406"/>
      <c r="L439" s="483">
        <v>0.08</v>
      </c>
      <c r="M439" s="406"/>
      <c r="N439" s="406"/>
      <c r="O439" s="133"/>
      <c r="P439" s="406"/>
    </row>
    <row r="440" spans="1:19" ht="27" collapsed="1" thickBot="1">
      <c r="A440" s="367" t="s">
        <v>760</v>
      </c>
      <c r="B440" s="341" t="s">
        <v>687</v>
      </c>
      <c r="C440" s="126" t="s">
        <v>111</v>
      </c>
      <c r="D440" s="123">
        <v>1</v>
      </c>
      <c r="E440" s="123">
        <v>30</v>
      </c>
      <c r="F440" s="124">
        <f>F322</f>
        <v>98090</v>
      </c>
      <c r="G440" s="125">
        <f>F440*E440</f>
        <v>2942700</v>
      </c>
      <c r="H440" s="416"/>
      <c r="I440" s="741">
        <f>G440</f>
        <v>2942700</v>
      </c>
      <c r="J440" s="755">
        <f>I440+I442+I476</f>
        <v>106427650</v>
      </c>
      <c r="K440" s="416">
        <f>E440+E442+E476</f>
        <v>1085</v>
      </c>
      <c r="L440" s="407"/>
      <c r="M440" s="407"/>
      <c r="N440" s="407"/>
      <c r="O440" s="407"/>
      <c r="P440" s="407"/>
    </row>
    <row r="441" spans="1:19">
      <c r="A441" s="427">
        <v>503</v>
      </c>
      <c r="B441" s="83" t="s">
        <v>291</v>
      </c>
      <c r="C441" s="126"/>
      <c r="D441" s="123"/>
      <c r="E441" s="123"/>
      <c r="F441" s="124"/>
      <c r="G441" s="125"/>
      <c r="H441" s="416"/>
      <c r="I441" s="416"/>
      <c r="K441" s="406"/>
      <c r="L441" s="406"/>
      <c r="M441" s="406"/>
      <c r="N441" s="406"/>
      <c r="O441" s="133"/>
      <c r="P441" s="406"/>
    </row>
    <row r="442" spans="1:19" ht="26.4">
      <c r="A442" s="367" t="s">
        <v>761</v>
      </c>
      <c r="B442" s="341" t="s">
        <v>694</v>
      </c>
      <c r="C442" s="126" t="s">
        <v>111</v>
      </c>
      <c r="D442" s="123">
        <v>1</v>
      </c>
      <c r="E442" s="123">
        <v>900</v>
      </c>
      <c r="F442" s="124">
        <f>F440</f>
        <v>98090</v>
      </c>
      <c r="G442" s="125">
        <f>F442*E442</f>
        <v>88281000</v>
      </c>
      <c r="H442" s="416"/>
      <c r="I442" s="715">
        <f>G442</f>
        <v>88281000</v>
      </c>
      <c r="K442" s="483"/>
      <c r="L442" s="483"/>
      <c r="M442" s="406"/>
      <c r="N442" s="406"/>
      <c r="O442" s="133"/>
      <c r="P442" s="406"/>
    </row>
    <row r="443" spans="1:19" ht="26.4">
      <c r="A443" s="761" t="s">
        <v>762</v>
      </c>
      <c r="B443" s="759" t="s">
        <v>778</v>
      </c>
      <c r="C443" s="126" t="s">
        <v>111</v>
      </c>
      <c r="D443" s="123">
        <v>1</v>
      </c>
      <c r="E443" s="123">
        <f>178</f>
        <v>178</v>
      </c>
      <c r="F443" s="124">
        <f>+F442+112000</f>
        <v>210090</v>
      </c>
      <c r="G443" s="125">
        <f>F443*E443</f>
        <v>37396020</v>
      </c>
      <c r="H443" s="416"/>
      <c r="I443" s="717">
        <f>G443</f>
        <v>37396020</v>
      </c>
      <c r="J443" s="407"/>
      <c r="K443" s="407"/>
      <c r="L443" s="407"/>
      <c r="M443" s="407"/>
      <c r="N443" s="407"/>
      <c r="O443" s="407"/>
      <c r="P443" s="407"/>
    </row>
    <row r="444" spans="1:19">
      <c r="A444" s="761" t="s">
        <v>763</v>
      </c>
      <c r="B444" s="121" t="s">
        <v>176</v>
      </c>
      <c r="C444" s="126" t="s">
        <v>111</v>
      </c>
      <c r="D444" s="123">
        <v>1</v>
      </c>
      <c r="E444" s="123">
        <v>10</v>
      </c>
      <c r="F444" s="124">
        <f>MROUND(O444,10)</f>
        <v>735110</v>
      </c>
      <c r="G444" s="125">
        <f>F444*E444</f>
        <v>7351100</v>
      </c>
      <c r="H444" s="416"/>
      <c r="I444" s="717">
        <f>G444</f>
        <v>7351100</v>
      </c>
      <c r="J444" s="129" t="s">
        <v>581</v>
      </c>
      <c r="K444" s="409">
        <f>SUM(G445:G458)/$E445</f>
        <v>565410.38589711802</v>
      </c>
      <c r="L444" s="409">
        <f>K444*$L$344</f>
        <v>7067.6298237139754</v>
      </c>
      <c r="M444" s="409">
        <f>K444*$M$344</f>
        <v>6784.9246307654166</v>
      </c>
      <c r="N444" s="409">
        <f>SUM(K444:M444)</f>
        <v>579262.9403515975</v>
      </c>
      <c r="O444" s="410">
        <f>N444/$R$346</f>
        <v>735105.2542532963</v>
      </c>
      <c r="P444" s="409">
        <f>O444-N444</f>
        <v>155842.3139016988</v>
      </c>
      <c r="Q444" s="474">
        <f>1-K444/F444</f>
        <v>0.23084927983959136</v>
      </c>
    </row>
    <row r="445" spans="1:19" hidden="1" outlineLevel="1">
      <c r="A445" s="401"/>
      <c r="B445" s="294" t="s">
        <v>577</v>
      </c>
      <c r="C445" s="295" t="s">
        <v>111</v>
      </c>
      <c r="D445" s="123"/>
      <c r="E445" s="123">
        <f>10</f>
        <v>10</v>
      </c>
      <c r="F445" s="124"/>
      <c r="G445" s="125"/>
      <c r="H445" s="416"/>
      <c r="I445" s="717">
        <f t="shared" ref="I445:I473" si="62">G445</f>
        <v>0</v>
      </c>
      <c r="J445" s="528"/>
      <c r="K445" s="409"/>
      <c r="L445" s="409"/>
      <c r="M445" s="409"/>
      <c r="N445" s="409"/>
      <c r="O445" s="410"/>
      <c r="P445" s="409"/>
      <c r="Q445" s="474"/>
    </row>
    <row r="446" spans="1:19" hidden="1" outlineLevel="1">
      <c r="A446" s="401"/>
      <c r="B446" s="84" t="s">
        <v>141</v>
      </c>
      <c r="C446" s="126" t="s">
        <v>65</v>
      </c>
      <c r="D446" s="123">
        <v>1</v>
      </c>
      <c r="E446" s="123">
        <f>(1.6*E445*0.1)*1.1</f>
        <v>1.7600000000000002</v>
      </c>
      <c r="F446" s="124">
        <v>100000</v>
      </c>
      <c r="G446" s="125">
        <f>F446*E446*D446</f>
        <v>176000.00000000003</v>
      </c>
      <c r="H446" s="416"/>
      <c r="I446" s="717">
        <f t="shared" si="62"/>
        <v>176000.00000000003</v>
      </c>
      <c r="K446" s="406"/>
      <c r="L446" s="406"/>
      <c r="M446" s="406"/>
      <c r="N446" s="406"/>
      <c r="O446" s="133"/>
      <c r="P446" s="406"/>
    </row>
    <row r="447" spans="1:19" hidden="1" outlineLevel="1">
      <c r="A447" s="401"/>
      <c r="B447" s="84" t="s">
        <v>144</v>
      </c>
      <c r="C447" s="126" t="s">
        <v>179</v>
      </c>
      <c r="D447" s="123">
        <v>1</v>
      </c>
      <c r="E447" s="123">
        <f>(1.6*E445*6)*1.02</f>
        <v>97.92</v>
      </c>
      <c r="F447" s="124">
        <f>13988</f>
        <v>13988</v>
      </c>
      <c r="G447" s="125">
        <f t="shared" ref="G447:G451" si="63">F447*E447*D447</f>
        <v>1369704.96</v>
      </c>
      <c r="H447" s="416"/>
      <c r="I447" s="717">
        <f t="shared" si="62"/>
        <v>1369704.96</v>
      </c>
      <c r="K447" s="406"/>
      <c r="L447" s="406"/>
      <c r="M447" s="406"/>
      <c r="N447" s="406"/>
      <c r="O447" s="133"/>
      <c r="P447" s="406"/>
    </row>
    <row r="448" spans="1:19" hidden="1" outlineLevel="1">
      <c r="A448" s="401"/>
      <c r="B448" s="84" t="s">
        <v>147</v>
      </c>
      <c r="C448" s="126" t="s">
        <v>94</v>
      </c>
      <c r="D448" s="123">
        <v>1</v>
      </c>
      <c r="E448" s="123">
        <f>E450*80</f>
        <v>1044.4800000000002</v>
      </c>
      <c r="F448" s="124">
        <v>700</v>
      </c>
      <c r="G448" s="125">
        <f t="shared" si="63"/>
        <v>731136.00000000012</v>
      </c>
      <c r="H448" s="416"/>
      <c r="I448" s="717">
        <f t="shared" si="62"/>
        <v>731136.00000000012</v>
      </c>
      <c r="K448" s="406"/>
      <c r="L448" s="406"/>
      <c r="M448" s="406"/>
      <c r="N448" s="406"/>
      <c r="O448" s="133"/>
      <c r="P448" s="406"/>
    </row>
    <row r="449" spans="1:19" hidden="1" outlineLevel="1">
      <c r="A449" s="401"/>
      <c r="B449" s="122" t="s">
        <v>95</v>
      </c>
      <c r="C449" s="126" t="s">
        <v>94</v>
      </c>
      <c r="D449" s="123">
        <v>1</v>
      </c>
      <c r="E449" s="123">
        <f>E448*1.5%</f>
        <v>15.667200000000003</v>
      </c>
      <c r="F449" s="124">
        <f>1500</f>
        <v>1500</v>
      </c>
      <c r="G449" s="125">
        <f t="shared" si="63"/>
        <v>23500.800000000003</v>
      </c>
      <c r="H449" s="416"/>
      <c r="I449" s="717">
        <f t="shared" si="62"/>
        <v>23500.800000000003</v>
      </c>
      <c r="K449" s="406"/>
      <c r="L449" s="406"/>
      <c r="M449" s="406"/>
      <c r="N449" s="406"/>
      <c r="O449" s="133"/>
      <c r="P449" s="406"/>
    </row>
    <row r="450" spans="1:19" hidden="1" outlineLevel="1">
      <c r="A450" s="401"/>
      <c r="B450" s="84" t="s">
        <v>149</v>
      </c>
      <c r="C450" s="126" t="s">
        <v>65</v>
      </c>
      <c r="D450" s="123">
        <v>1</v>
      </c>
      <c r="E450" s="123">
        <f>((1.6*4)*0.2*E445)*1.02</f>
        <v>13.056000000000003</v>
      </c>
      <c r="F450" s="124">
        <f>120000</f>
        <v>120000</v>
      </c>
      <c r="G450" s="125">
        <f t="shared" si="63"/>
        <v>1566720.0000000002</v>
      </c>
      <c r="H450" s="416"/>
      <c r="I450" s="717">
        <f t="shared" si="62"/>
        <v>1566720.0000000002</v>
      </c>
      <c r="K450" s="406"/>
      <c r="L450" s="406"/>
      <c r="M450" s="406"/>
      <c r="N450" s="406"/>
      <c r="O450" s="133"/>
      <c r="P450" s="406"/>
    </row>
    <row r="451" spans="1:19" hidden="1" outlineLevel="1">
      <c r="A451" s="401"/>
      <c r="B451" s="243" t="s">
        <v>313</v>
      </c>
      <c r="C451" s="244" t="s">
        <v>43</v>
      </c>
      <c r="D451" s="123">
        <v>1</v>
      </c>
      <c r="E451" s="123">
        <f>E445*(1.6*3)*1.2</f>
        <v>57.600000000000009</v>
      </c>
      <c r="F451" s="124">
        <f>750</f>
        <v>750</v>
      </c>
      <c r="G451" s="125">
        <f t="shared" si="63"/>
        <v>43200.000000000007</v>
      </c>
      <c r="H451" s="416"/>
      <c r="I451" s="717">
        <f t="shared" si="62"/>
        <v>43200.000000000007</v>
      </c>
      <c r="K451" s="406"/>
      <c r="L451" s="406"/>
      <c r="M451" s="406"/>
      <c r="N451" s="406"/>
      <c r="O451" s="133"/>
      <c r="P451" s="406"/>
    </row>
    <row r="452" spans="1:19" hidden="1" outlineLevel="1">
      <c r="A452" s="401"/>
      <c r="B452" s="84" t="s">
        <v>151</v>
      </c>
      <c r="C452" s="126" t="s">
        <v>152</v>
      </c>
      <c r="D452" s="123">
        <v>1</v>
      </c>
      <c r="E452" s="123">
        <f>(1/0.8)*(E445*1.6*2)</f>
        <v>40</v>
      </c>
      <c r="F452" s="124"/>
      <c r="G452" s="125"/>
      <c r="H452" s="416"/>
      <c r="I452" s="717">
        <f t="shared" si="62"/>
        <v>0</v>
      </c>
      <c r="K452" s="406"/>
      <c r="L452" s="406"/>
      <c r="M452" s="406"/>
      <c r="N452" s="406"/>
      <c r="O452" s="133"/>
      <c r="P452" s="406"/>
    </row>
    <row r="453" spans="1:19" hidden="1" outlineLevel="1">
      <c r="A453" s="401"/>
      <c r="B453" s="122" t="s">
        <v>285</v>
      </c>
      <c r="C453" s="126" t="s">
        <v>152</v>
      </c>
      <c r="D453" s="123">
        <v>1</v>
      </c>
      <c r="E453" s="123">
        <f>ROUNDUP((E452*0.25)/6,0)</f>
        <v>2</v>
      </c>
      <c r="F453" s="124">
        <v>2900</v>
      </c>
      <c r="G453" s="125">
        <f t="shared" ref="G453:G457" si="64">F453*E453*D453</f>
        <v>5800</v>
      </c>
      <c r="H453" s="416"/>
      <c r="I453" s="717">
        <f t="shared" si="62"/>
        <v>5800</v>
      </c>
      <c r="K453" s="406"/>
      <c r="L453" s="406"/>
      <c r="M453" s="406"/>
      <c r="N453" s="406"/>
      <c r="O453" s="133"/>
      <c r="P453" s="406"/>
    </row>
    <row r="454" spans="1:19" s="214" customFormat="1" hidden="1" outlineLevel="1">
      <c r="A454" s="402"/>
      <c r="B454" s="230" t="s">
        <v>154</v>
      </c>
      <c r="C454" s="33" t="s">
        <v>65</v>
      </c>
      <c r="D454" s="123">
        <v>1</v>
      </c>
      <c r="E454" s="211">
        <f>(E445*1.6*1.7)*1.2+E456</f>
        <v>52.8</v>
      </c>
      <c r="F454" s="212">
        <f>$K$199</f>
        <v>5021.5015547439907</v>
      </c>
      <c r="G454" s="233">
        <f t="shared" si="64"/>
        <v>265135.28209048271</v>
      </c>
      <c r="H454" s="416"/>
      <c r="I454" s="717">
        <f t="shared" si="62"/>
        <v>265135.28209048271</v>
      </c>
      <c r="J454" s="520"/>
      <c r="K454" s="406"/>
      <c r="L454" s="406"/>
      <c r="M454" s="450"/>
      <c r="N454" s="450"/>
      <c r="O454" s="449"/>
      <c r="P454" s="450"/>
      <c r="R454" s="407"/>
      <c r="S454" s="407"/>
    </row>
    <row r="455" spans="1:19" s="214" customFormat="1" hidden="1" outlineLevel="1">
      <c r="A455" s="402"/>
      <c r="B455" s="230" t="s">
        <v>301</v>
      </c>
      <c r="C455" s="33" t="s">
        <v>65</v>
      </c>
      <c r="D455" s="123">
        <v>1</v>
      </c>
      <c r="E455" s="211">
        <f>E454-(E445*1.6*1.7)-E456</f>
        <v>5.4399999999999977</v>
      </c>
      <c r="F455" s="212">
        <f>F454*1.05</f>
        <v>5272.5766324811902</v>
      </c>
      <c r="G455" s="233">
        <f t="shared" si="64"/>
        <v>28682.816880697665</v>
      </c>
      <c r="H455" s="416"/>
      <c r="I455" s="717">
        <f t="shared" si="62"/>
        <v>28682.816880697665</v>
      </c>
      <c r="J455" s="520"/>
      <c r="K455" s="406"/>
      <c r="L455" s="406"/>
      <c r="M455" s="450"/>
      <c r="N455" s="450"/>
      <c r="O455" s="449"/>
      <c r="P455" s="450"/>
      <c r="R455" s="407"/>
      <c r="S455" s="407"/>
    </row>
    <row r="456" spans="1:19" s="214" customFormat="1" hidden="1" outlineLevel="1">
      <c r="A456" s="402"/>
      <c r="B456" s="230" t="s">
        <v>229</v>
      </c>
      <c r="C456" s="33" t="s">
        <v>65</v>
      </c>
      <c r="D456" s="123">
        <v>0.5</v>
      </c>
      <c r="E456" s="211">
        <f>(1.6*E445*AVERAGE(1.4,1))*1.05</f>
        <v>20.16</v>
      </c>
      <c r="F456" s="212">
        <f>120000/14</f>
        <v>8571.4285714285706</v>
      </c>
      <c r="G456" s="233">
        <f t="shared" si="64"/>
        <v>86400</v>
      </c>
      <c r="H456" s="416"/>
      <c r="I456" s="717">
        <f t="shared" si="62"/>
        <v>86400</v>
      </c>
      <c r="J456" s="520"/>
      <c r="K456" s="406"/>
      <c r="L456" s="406"/>
      <c r="M456" s="450"/>
      <c r="N456" s="450"/>
      <c r="O456" s="449"/>
      <c r="P456" s="450"/>
      <c r="R456" s="407"/>
      <c r="S456" s="407"/>
    </row>
    <row r="457" spans="1:19" s="214" customFormat="1" hidden="1" outlineLevel="1">
      <c r="A457" s="402"/>
      <c r="B457" s="230" t="s">
        <v>300</v>
      </c>
      <c r="C457" s="17" t="s">
        <v>65</v>
      </c>
      <c r="D457" s="123">
        <v>1</v>
      </c>
      <c r="E457" s="231">
        <f>E450</f>
        <v>13.056000000000003</v>
      </c>
      <c r="F457" s="232">
        <f>104000</f>
        <v>104000</v>
      </c>
      <c r="G457" s="233">
        <f t="shared" si="64"/>
        <v>1357824.0000000002</v>
      </c>
      <c r="H457" s="416"/>
      <c r="I457" s="717">
        <f t="shared" si="62"/>
        <v>1357824.0000000002</v>
      </c>
      <c r="J457" s="520"/>
      <c r="K457" s="406"/>
      <c r="L457" s="406"/>
      <c r="M457" s="450"/>
      <c r="N457" s="450"/>
      <c r="O457" s="449"/>
      <c r="P457" s="450"/>
      <c r="R457" s="407"/>
      <c r="S457" s="407"/>
    </row>
    <row r="458" spans="1:19" hidden="1" outlineLevel="1">
      <c r="A458" s="401"/>
      <c r="B458" s="83"/>
      <c r="C458" s="126"/>
      <c r="D458" s="123"/>
      <c r="E458" s="123"/>
      <c r="F458" s="124"/>
      <c r="G458" s="125"/>
      <c r="H458" s="416"/>
      <c r="I458" s="717">
        <f t="shared" si="62"/>
        <v>0</v>
      </c>
      <c r="K458" s="406"/>
      <c r="L458" s="483"/>
      <c r="M458" s="406"/>
      <c r="N458" s="406"/>
      <c r="O458" s="133"/>
      <c r="P458" s="406"/>
    </row>
    <row r="459" spans="1:19" ht="26.4" collapsed="1">
      <c r="A459" s="761" t="s">
        <v>764</v>
      </c>
      <c r="B459" s="294" t="s">
        <v>580</v>
      </c>
      <c r="C459" s="126" t="s">
        <v>111</v>
      </c>
      <c r="D459" s="123">
        <v>1</v>
      </c>
      <c r="E459" s="123">
        <f>+E460</f>
        <v>260</v>
      </c>
      <c r="F459" s="124">
        <f>MROUND(O459,10)</f>
        <v>252880</v>
      </c>
      <c r="G459" s="125">
        <f>F459*E459</f>
        <v>65748800</v>
      </c>
      <c r="H459" s="416"/>
      <c r="I459" s="717">
        <f>G459</f>
        <v>65748800</v>
      </c>
      <c r="J459" s="407"/>
      <c r="K459" s="409">
        <f>SUM(G460:G473)/$E460</f>
        <v>194505.28626184221</v>
      </c>
      <c r="L459" s="409">
        <f>K459*$L$344</f>
        <v>2431.3160782730279</v>
      </c>
      <c r="M459" s="409">
        <f>K459*$M$344</f>
        <v>2334.0634351421068</v>
      </c>
      <c r="N459" s="409">
        <f>SUM(K459:M459)</f>
        <v>199270.66577525734</v>
      </c>
      <c r="O459" s="410">
        <f>N459/$R$346</f>
        <v>252881.55555235702</v>
      </c>
      <c r="P459" s="409">
        <f>O459-N459</f>
        <v>53610.889777099685</v>
      </c>
      <c r="Q459" s="474">
        <f>1-K459/F459</f>
        <v>0.23083958295696694</v>
      </c>
      <c r="R459" s="407">
        <f>+O459/K459</f>
        <v>1.3001269035532994</v>
      </c>
    </row>
    <row r="460" spans="1:19" hidden="1" outlineLevel="1">
      <c r="A460" s="401"/>
      <c r="B460" s="294" t="s">
        <v>577</v>
      </c>
      <c r="C460" s="295" t="s">
        <v>111</v>
      </c>
      <c r="D460" s="123">
        <v>1</v>
      </c>
      <c r="E460" s="123">
        <v>260</v>
      </c>
      <c r="F460" s="124"/>
      <c r="G460" s="125"/>
      <c r="H460" s="416"/>
      <c r="I460" s="717">
        <f t="shared" si="62"/>
        <v>0</v>
      </c>
      <c r="J460" s="528"/>
      <c r="K460" s="409"/>
      <c r="L460" s="409"/>
      <c r="M460" s="409"/>
      <c r="N460" s="409"/>
      <c r="O460" s="410"/>
      <c r="P460" s="409"/>
      <c r="Q460" s="474"/>
    </row>
    <row r="461" spans="1:19" hidden="1" outlineLevel="1">
      <c r="A461" s="401"/>
      <c r="B461" s="84" t="s">
        <v>141</v>
      </c>
      <c r="C461" s="126" t="s">
        <v>65</v>
      </c>
      <c r="D461" s="123">
        <v>1</v>
      </c>
      <c r="E461" s="123">
        <f>(1.2*E460*0.1)*1.05</f>
        <v>32.760000000000005</v>
      </c>
      <c r="F461" s="124">
        <v>100000</v>
      </c>
      <c r="G461" s="125">
        <f>F461*E461*D461</f>
        <v>3276000.0000000005</v>
      </c>
      <c r="H461" s="416"/>
      <c r="I461" s="717">
        <f t="shared" si="62"/>
        <v>3276000.0000000005</v>
      </c>
      <c r="K461" s="406"/>
      <c r="L461" s="406"/>
      <c r="M461" s="406"/>
      <c r="N461" s="406"/>
      <c r="O461" s="133"/>
      <c r="P461" s="406"/>
    </row>
    <row r="462" spans="1:19" hidden="1" outlineLevel="1">
      <c r="A462" s="401"/>
      <c r="B462" s="84" t="s">
        <v>144</v>
      </c>
      <c r="C462" s="126" t="s">
        <v>179</v>
      </c>
      <c r="D462" s="123">
        <v>1</v>
      </c>
      <c r="E462" s="123">
        <f>(1.05*E460*4)*1.02</f>
        <v>1113.8399999999999</v>
      </c>
      <c r="F462" s="124">
        <f>13988</f>
        <v>13988</v>
      </c>
      <c r="G462" s="125">
        <f t="shared" ref="G462:G466" si="65">F462*E462*D462</f>
        <v>15580393.919999998</v>
      </c>
      <c r="H462" s="416"/>
      <c r="I462" s="717">
        <f t="shared" si="62"/>
        <v>15580393.919999998</v>
      </c>
      <c r="K462" s="406"/>
      <c r="L462" s="406"/>
      <c r="M462" s="406"/>
      <c r="N462" s="406"/>
      <c r="O462" s="133"/>
      <c r="P462" s="406"/>
    </row>
    <row r="463" spans="1:19" hidden="1" outlineLevel="1">
      <c r="A463" s="401"/>
      <c r="B463" s="84" t="s">
        <v>147</v>
      </c>
      <c r="C463" s="126" t="s">
        <v>94</v>
      </c>
      <c r="D463" s="123">
        <v>1</v>
      </c>
      <c r="E463" s="240">
        <f>E465*55</f>
        <v>7220.07</v>
      </c>
      <c r="F463" s="124">
        <v>700</v>
      </c>
      <c r="G463" s="125">
        <f t="shared" si="65"/>
        <v>5054049</v>
      </c>
      <c r="H463" s="416"/>
      <c r="I463" s="717">
        <f t="shared" si="62"/>
        <v>5054049</v>
      </c>
      <c r="K463" s="450">
        <f>E463/E465</f>
        <v>55</v>
      </c>
      <c r="L463" s="406"/>
      <c r="M463" s="406"/>
      <c r="N463" s="406"/>
      <c r="O463" s="133"/>
      <c r="P463" s="406"/>
    </row>
    <row r="464" spans="1:19" hidden="1" outlineLevel="1">
      <c r="A464" s="401"/>
      <c r="B464" s="122" t="s">
        <v>95</v>
      </c>
      <c r="C464" s="126" t="s">
        <v>94</v>
      </c>
      <c r="D464" s="123">
        <v>1</v>
      </c>
      <c r="E464" s="123">
        <f>E463*1.5%</f>
        <v>108.30104999999999</v>
      </c>
      <c r="F464" s="124">
        <f>1500</f>
        <v>1500</v>
      </c>
      <c r="G464" s="125">
        <f t="shared" si="65"/>
        <v>162451.57499999998</v>
      </c>
      <c r="H464" s="416"/>
      <c r="I464" s="717">
        <f t="shared" si="62"/>
        <v>162451.57499999998</v>
      </c>
      <c r="K464" s="406"/>
      <c r="L464" s="406"/>
      <c r="M464" s="406"/>
      <c r="N464" s="406"/>
      <c r="O464" s="133"/>
      <c r="P464" s="406"/>
    </row>
    <row r="465" spans="1:19" hidden="1" outlineLevel="1">
      <c r="A465" s="401"/>
      <c r="B465" s="84" t="s">
        <v>149</v>
      </c>
      <c r="C465" s="126" t="s">
        <v>65</v>
      </c>
      <c r="D465" s="123">
        <v>1</v>
      </c>
      <c r="E465" s="123">
        <f>((1.05*2+1.2)*0.15*E460)*1.02</f>
        <v>131.274</v>
      </c>
      <c r="F465" s="124">
        <f>120000</f>
        <v>120000</v>
      </c>
      <c r="G465" s="125">
        <f t="shared" si="65"/>
        <v>15752880</v>
      </c>
      <c r="H465" s="416"/>
      <c r="I465" s="717">
        <f t="shared" si="62"/>
        <v>15752880</v>
      </c>
      <c r="K465" s="406"/>
      <c r="L465" s="406"/>
      <c r="M465" s="406"/>
      <c r="N465" s="406"/>
      <c r="O465" s="133"/>
      <c r="P465" s="406"/>
    </row>
    <row r="466" spans="1:19" hidden="1" outlineLevel="1">
      <c r="A466" s="401"/>
      <c r="B466" s="243" t="s">
        <v>313</v>
      </c>
      <c r="C466" s="244" t="s">
        <v>43</v>
      </c>
      <c r="D466" s="123">
        <v>1</v>
      </c>
      <c r="E466" s="123">
        <f>E460*(1.2+1.05*2)*1.2</f>
        <v>1029.5999999999999</v>
      </c>
      <c r="F466" s="124">
        <f>750</f>
        <v>750</v>
      </c>
      <c r="G466" s="125">
        <f t="shared" si="65"/>
        <v>772199.99999999988</v>
      </c>
      <c r="H466" s="416"/>
      <c r="I466" s="717">
        <f t="shared" si="62"/>
        <v>772199.99999999988</v>
      </c>
      <c r="K466" s="406"/>
      <c r="L466" s="406"/>
      <c r="M466" s="406"/>
      <c r="N466" s="406"/>
      <c r="O466" s="133"/>
      <c r="P466" s="406"/>
    </row>
    <row r="467" spans="1:19" hidden="1" outlineLevel="1">
      <c r="A467" s="401"/>
      <c r="B467" s="84" t="s">
        <v>151</v>
      </c>
      <c r="C467" s="126" t="s">
        <v>152</v>
      </c>
      <c r="D467" s="123">
        <v>1</v>
      </c>
      <c r="E467" s="123">
        <f>(1/0.8)*(E460*1.05*2)</f>
        <v>682.5</v>
      </c>
      <c r="F467" s="124"/>
      <c r="G467" s="125"/>
      <c r="H467" s="416"/>
      <c r="I467" s="717">
        <f t="shared" si="62"/>
        <v>0</v>
      </c>
      <c r="K467" s="484">
        <f>1/0.8</f>
        <v>1.25</v>
      </c>
      <c r="L467" s="406"/>
      <c r="M467" s="406"/>
      <c r="N467" s="406"/>
      <c r="O467" s="133"/>
      <c r="P467" s="406"/>
    </row>
    <row r="468" spans="1:19" hidden="1" outlineLevel="1">
      <c r="A468" s="401"/>
      <c r="B468" s="122" t="s">
        <v>285</v>
      </c>
      <c r="C468" s="126" t="s">
        <v>152</v>
      </c>
      <c r="D468" s="123">
        <v>1</v>
      </c>
      <c r="E468" s="123">
        <f>ROUNDUP((E467*0.25)/6,0)</f>
        <v>29</v>
      </c>
      <c r="F468" s="212">
        <v>2900</v>
      </c>
      <c r="G468" s="125">
        <f t="shared" ref="G468:G472" si="66">F468*E468*D468</f>
        <v>84100</v>
      </c>
      <c r="H468" s="416"/>
      <c r="I468" s="717">
        <f t="shared" si="62"/>
        <v>84100</v>
      </c>
      <c r="K468" s="481">
        <v>2900</v>
      </c>
      <c r="L468" s="406"/>
      <c r="M468" s="406"/>
      <c r="N468" s="406"/>
      <c r="O468" s="133"/>
      <c r="P468" s="406"/>
    </row>
    <row r="469" spans="1:19" s="214" customFormat="1" hidden="1" outlineLevel="1">
      <c r="A469" s="402"/>
      <c r="B469" s="230" t="s">
        <v>154</v>
      </c>
      <c r="C469" s="33" t="s">
        <v>65</v>
      </c>
      <c r="D469" s="123">
        <v>1</v>
      </c>
      <c r="E469" s="211">
        <f>(E460*1.2*1.3)*1.1+E471</f>
        <v>839.28000000000009</v>
      </c>
      <c r="F469" s="212">
        <f>$K$199</f>
        <v>5021.5015547439907</v>
      </c>
      <c r="G469" s="233">
        <f t="shared" si="66"/>
        <v>4214445.8248655368</v>
      </c>
      <c r="H469" s="416"/>
      <c r="I469" s="717">
        <f t="shared" si="62"/>
        <v>4214445.8248655368</v>
      </c>
      <c r="J469" s="520"/>
      <c r="K469" s="447" t="s">
        <v>310</v>
      </c>
      <c r="L469" s="406"/>
      <c r="M469" s="450"/>
      <c r="N469" s="450"/>
      <c r="O469" s="449"/>
      <c r="P469" s="450"/>
      <c r="R469" s="407"/>
      <c r="S469" s="407"/>
    </row>
    <row r="470" spans="1:19" s="214" customFormat="1" hidden="1" outlineLevel="1">
      <c r="A470" s="402"/>
      <c r="B470" s="230" t="s">
        <v>301</v>
      </c>
      <c r="C470" s="33" t="s">
        <v>65</v>
      </c>
      <c r="D470" s="123">
        <v>1</v>
      </c>
      <c r="E470" s="211">
        <f>E469-(E460*1.2*1.3)-E471</f>
        <v>40.560000000000059</v>
      </c>
      <c r="F470" s="212">
        <f>F469*1.05</f>
        <v>5272.5766324811902</v>
      </c>
      <c r="G470" s="233">
        <f t="shared" si="66"/>
        <v>213855.70821343738</v>
      </c>
      <c r="H470" s="416"/>
      <c r="I470" s="717">
        <f t="shared" si="62"/>
        <v>213855.70821343738</v>
      </c>
      <c r="J470" s="520"/>
      <c r="K470" s="447" t="s">
        <v>311</v>
      </c>
      <c r="L470" s="406"/>
      <c r="M470" s="450"/>
      <c r="N470" s="450"/>
      <c r="O470" s="449"/>
      <c r="P470" s="450"/>
      <c r="R470" s="407"/>
      <c r="S470" s="407"/>
    </row>
    <row r="471" spans="1:19" s="214" customFormat="1" hidden="1" outlineLevel="1">
      <c r="A471" s="402"/>
      <c r="B471" s="230" t="s">
        <v>229</v>
      </c>
      <c r="C471" s="33" t="s">
        <v>65</v>
      </c>
      <c r="D471" s="123">
        <v>0</v>
      </c>
      <c r="E471" s="211">
        <f>(1.2*E460*AVERAGE(1.4,1))*1.05</f>
        <v>393.12</v>
      </c>
      <c r="F471" s="212">
        <f>120000/14</f>
        <v>8571.4285714285706</v>
      </c>
      <c r="G471" s="233">
        <f t="shared" si="66"/>
        <v>0</v>
      </c>
      <c r="H471" s="416"/>
      <c r="I471" s="717">
        <f t="shared" si="62"/>
        <v>0</v>
      </c>
      <c r="J471" s="520"/>
      <c r="K471" s="482" t="s">
        <v>312</v>
      </c>
      <c r="L471" s="406"/>
      <c r="M471" s="450"/>
      <c r="N471" s="450"/>
      <c r="O471" s="449"/>
      <c r="P471" s="450"/>
      <c r="R471" s="407"/>
      <c r="S471" s="407"/>
    </row>
    <row r="472" spans="1:19" s="214" customFormat="1" hidden="1" outlineLevel="1">
      <c r="A472" s="402"/>
      <c r="B472" s="230" t="s">
        <v>300</v>
      </c>
      <c r="C472" s="17" t="s">
        <v>65</v>
      </c>
      <c r="D472" s="123">
        <v>1</v>
      </c>
      <c r="E472" s="231">
        <f>E465</f>
        <v>131.274</v>
      </c>
      <c r="F472" s="239">
        <f>104000*40%</f>
        <v>41600</v>
      </c>
      <c r="G472" s="233">
        <f t="shared" si="66"/>
        <v>5460998.4000000004</v>
      </c>
      <c r="H472" s="416"/>
      <c r="I472" s="717">
        <f t="shared" si="62"/>
        <v>5460998.4000000004</v>
      </c>
      <c r="J472" s="520"/>
      <c r="K472" s="447" t="s">
        <v>286</v>
      </c>
      <c r="L472" s="406"/>
      <c r="M472" s="450"/>
      <c r="N472" s="450"/>
      <c r="O472" s="449"/>
      <c r="P472" s="450"/>
      <c r="R472" s="407"/>
      <c r="S472" s="407"/>
    </row>
    <row r="473" spans="1:19" hidden="1" outlineLevel="1">
      <c r="A473" s="401"/>
      <c r="B473" s="83"/>
      <c r="C473" s="126"/>
      <c r="D473" s="123"/>
      <c r="E473" s="123"/>
      <c r="F473" s="124"/>
      <c r="G473" s="125"/>
      <c r="H473" s="416"/>
      <c r="I473" s="717">
        <f t="shared" si="62"/>
        <v>0</v>
      </c>
      <c r="K473" s="406"/>
      <c r="L473" s="483">
        <v>0.08</v>
      </c>
      <c r="M473" s="406"/>
      <c r="N473" s="406"/>
      <c r="O473" s="133"/>
      <c r="P473" s="406"/>
    </row>
    <row r="474" spans="1:19" ht="26.4" collapsed="1">
      <c r="A474" s="761" t="s">
        <v>765</v>
      </c>
      <c r="B474" s="759" t="s">
        <v>777</v>
      </c>
      <c r="C474" s="126" t="s">
        <v>111</v>
      </c>
      <c r="D474" s="123">
        <v>1</v>
      </c>
      <c r="E474" s="123">
        <f>14.4</f>
        <v>14.4</v>
      </c>
      <c r="F474" s="124">
        <f>K474</f>
        <v>892706.66666666663</v>
      </c>
      <c r="G474" s="125">
        <f>F474*E474</f>
        <v>12854976</v>
      </c>
      <c r="H474" s="416"/>
      <c r="I474" s="717">
        <f>G474</f>
        <v>12854976</v>
      </c>
      <c r="K474" s="415">
        <f>(F346/3)*4</f>
        <v>892706.66666666663</v>
      </c>
      <c r="O474" s="405"/>
      <c r="Q474" s="405"/>
    </row>
    <row r="475" spans="1:19">
      <c r="A475" s="399">
        <v>504</v>
      </c>
      <c r="B475" s="83" t="s">
        <v>295</v>
      </c>
      <c r="C475" s="126"/>
      <c r="D475" s="123"/>
      <c r="E475" s="123"/>
      <c r="F475" s="124"/>
      <c r="G475" s="125"/>
      <c r="H475" s="416"/>
      <c r="I475" s="416"/>
      <c r="O475" s="405"/>
      <c r="Q475" s="405"/>
    </row>
    <row r="476" spans="1:19" ht="26.4">
      <c r="A476" s="367" t="s">
        <v>766</v>
      </c>
      <c r="B476" s="341" t="s">
        <v>695</v>
      </c>
      <c r="C476" s="126" t="s">
        <v>111</v>
      </c>
      <c r="D476" s="123">
        <v>1</v>
      </c>
      <c r="E476" s="123">
        <v>155</v>
      </c>
      <c r="F476" s="124">
        <f>F442</f>
        <v>98090</v>
      </c>
      <c r="G476" s="125">
        <f>F476*E476</f>
        <v>15203950</v>
      </c>
      <c r="H476" s="416"/>
      <c r="I476" s="715">
        <f>G476</f>
        <v>15203950</v>
      </c>
      <c r="K476" s="485" t="str">
        <f>A425</f>
        <v>502.2</v>
      </c>
      <c r="L476" s="483"/>
      <c r="M476" s="406"/>
      <c r="N476" s="406"/>
      <c r="O476" s="133"/>
      <c r="P476" s="406"/>
    </row>
    <row r="477" spans="1:19">
      <c r="A477" s="761" t="s">
        <v>767</v>
      </c>
      <c r="B477" s="294" t="s">
        <v>583</v>
      </c>
      <c r="C477" s="126" t="s">
        <v>111</v>
      </c>
      <c r="D477" s="123">
        <v>1</v>
      </c>
      <c r="E477" s="123">
        <f>12</f>
        <v>12</v>
      </c>
      <c r="F477" s="124">
        <f>MROUND(O477,10)</f>
        <v>1914180</v>
      </c>
      <c r="G477" s="125">
        <f>F477*E477</f>
        <v>22970160</v>
      </c>
      <c r="H477" s="416"/>
      <c r="I477" s="756">
        <f>G477</f>
        <v>22970160</v>
      </c>
      <c r="K477" s="409">
        <f>SUM(G478:G494)/$E478</f>
        <v>1472303.7150567214</v>
      </c>
      <c r="L477" s="409">
        <f>K477*$L$344</f>
        <v>18403.796438209018</v>
      </c>
      <c r="M477" s="409">
        <f>K477*$M$344</f>
        <v>17667.644580680655</v>
      </c>
      <c r="N477" s="409">
        <f>SUM(K477:M477)</f>
        <v>1508375.156075611</v>
      </c>
      <c r="O477" s="410">
        <f>N477/$R$346</f>
        <v>1914181.6701467144</v>
      </c>
      <c r="P477" s="409">
        <f>O477-N477</f>
        <v>405806.51407110342</v>
      </c>
      <c r="Q477" s="474">
        <f>1-K477/F477</f>
        <v>0.23084364320141193</v>
      </c>
      <c r="R477" s="415">
        <f>G477/E485</f>
        <v>288453.88788426761</v>
      </c>
    </row>
    <row r="478" spans="1:19" hidden="1" outlineLevel="1">
      <c r="A478" s="401"/>
      <c r="B478" s="294" t="s">
        <v>577</v>
      </c>
      <c r="C478" s="295" t="s">
        <v>111</v>
      </c>
      <c r="D478" s="123">
        <v>1</v>
      </c>
      <c r="E478" s="123">
        <f>E477+E553</f>
        <v>24</v>
      </c>
      <c r="F478" s="124"/>
      <c r="G478" s="125"/>
      <c r="H478" s="416"/>
      <c r="I478" s="756">
        <f t="shared" ref="I478:I541" si="67">G478</f>
        <v>0</v>
      </c>
      <c r="J478" s="528"/>
      <c r="K478" s="474"/>
      <c r="L478" s="474"/>
      <c r="M478" s="474"/>
      <c r="N478" s="474"/>
      <c r="O478" s="474"/>
      <c r="P478" s="474"/>
      <c r="Q478" s="474"/>
    </row>
    <row r="479" spans="1:19" hidden="1" outlineLevel="1">
      <c r="A479" s="401"/>
      <c r="B479" s="84" t="s">
        <v>141</v>
      </c>
      <c r="C479" s="126" t="s">
        <v>65</v>
      </c>
      <c r="D479" s="123">
        <v>1</v>
      </c>
      <c r="E479" s="123">
        <f>(4.6*E478*0.1)*1.1</f>
        <v>12.144</v>
      </c>
      <c r="F479" s="124">
        <v>100000</v>
      </c>
      <c r="G479" s="125">
        <f>F479*E479*D479</f>
        <v>1214400</v>
      </c>
      <c r="H479" s="416"/>
      <c r="I479" s="756">
        <f t="shared" si="67"/>
        <v>1214400</v>
      </c>
      <c r="K479" s="406"/>
      <c r="L479" s="406"/>
      <c r="M479" s="406"/>
      <c r="N479" s="406"/>
      <c r="O479" s="133"/>
      <c r="P479" s="406"/>
    </row>
    <row r="480" spans="1:19" hidden="1" outlineLevel="1">
      <c r="A480" s="401"/>
      <c r="B480" s="84" t="s">
        <v>144</v>
      </c>
      <c r="C480" s="126" t="s">
        <v>179</v>
      </c>
      <c r="D480" s="123">
        <v>1</v>
      </c>
      <c r="E480" s="123">
        <f>(AVERAGE(2.4,2)*E478*8)*1.02</f>
        <v>430.84800000000007</v>
      </c>
      <c r="F480" s="124">
        <f>13988</f>
        <v>13988</v>
      </c>
      <c r="G480" s="125">
        <f t="shared" ref="G480:G486" si="68">F480*E480*D480</f>
        <v>6026701.824000001</v>
      </c>
      <c r="H480" s="416"/>
      <c r="I480" s="756">
        <f t="shared" si="67"/>
        <v>6026701.824000001</v>
      </c>
      <c r="K480" s="406"/>
      <c r="L480" s="406"/>
      <c r="M480" s="406"/>
      <c r="N480" s="406"/>
      <c r="O480" s="133"/>
      <c r="P480" s="406"/>
    </row>
    <row r="481" spans="1:19" hidden="1" outlineLevel="1">
      <c r="A481" s="401"/>
      <c r="B481" s="297" t="s">
        <v>584</v>
      </c>
      <c r="C481" s="295" t="s">
        <v>94</v>
      </c>
      <c r="D481" s="123">
        <v>1</v>
      </c>
      <c r="E481" s="123">
        <f>E480*0.15</f>
        <v>64.627200000000002</v>
      </c>
      <c r="F481" s="124">
        <f>1400</f>
        <v>1400</v>
      </c>
      <c r="G481" s="125">
        <f t="shared" ref="G481" si="69">F481*E481*D481</f>
        <v>90478.080000000002</v>
      </c>
      <c r="H481" s="416"/>
      <c r="I481" s="756">
        <f t="shared" si="67"/>
        <v>90478.080000000002</v>
      </c>
      <c r="K481" s="406"/>
      <c r="L481" s="406"/>
      <c r="M481" s="406"/>
      <c r="N481" s="406"/>
      <c r="O481" s="133"/>
      <c r="P481" s="406"/>
    </row>
    <row r="482" spans="1:19" hidden="1" outlineLevel="1">
      <c r="A482" s="401"/>
      <c r="B482" s="297" t="s">
        <v>585</v>
      </c>
      <c r="C482" s="295" t="s">
        <v>94</v>
      </c>
      <c r="D482" s="123">
        <v>1</v>
      </c>
      <c r="E482" s="123">
        <f>ROUNDUP(((E478*2.4)*2*0.45)/25,0)</f>
        <v>3</v>
      </c>
      <c r="F482" s="124">
        <f>65000</f>
        <v>65000</v>
      </c>
      <c r="G482" s="125">
        <f t="shared" ref="G482" si="70">F482*E482*D482</f>
        <v>195000</v>
      </c>
      <c r="H482" s="416"/>
      <c r="I482" s="756">
        <f t="shared" si="67"/>
        <v>195000</v>
      </c>
      <c r="K482" s="406"/>
      <c r="L482" s="406"/>
      <c r="M482" s="406"/>
      <c r="N482" s="406"/>
      <c r="O482" s="133"/>
      <c r="P482" s="406"/>
    </row>
    <row r="483" spans="1:19" hidden="1" outlineLevel="1">
      <c r="A483" s="401"/>
      <c r="B483" s="84" t="s">
        <v>147</v>
      </c>
      <c r="C483" s="126" t="s">
        <v>94</v>
      </c>
      <c r="D483" s="123">
        <v>1</v>
      </c>
      <c r="E483" s="123">
        <f>E485*80</f>
        <v>6370.56</v>
      </c>
      <c r="F483" s="124">
        <v>700</v>
      </c>
      <c r="G483" s="125">
        <f t="shared" si="68"/>
        <v>4459392</v>
      </c>
      <c r="H483" s="416"/>
      <c r="I483" s="756">
        <f t="shared" si="67"/>
        <v>4459392</v>
      </c>
      <c r="K483" s="406"/>
      <c r="L483" s="406"/>
      <c r="M483" s="406"/>
      <c r="N483" s="406"/>
      <c r="O483" s="133"/>
      <c r="P483" s="406"/>
    </row>
    <row r="484" spans="1:19" hidden="1" outlineLevel="1">
      <c r="A484" s="401"/>
      <c r="B484" s="122" t="s">
        <v>95</v>
      </c>
      <c r="C484" s="126" t="s">
        <v>94</v>
      </c>
      <c r="D484" s="123">
        <v>1</v>
      </c>
      <c r="E484" s="123">
        <f>E483*1.5%</f>
        <v>95.558400000000006</v>
      </c>
      <c r="F484" s="124">
        <f>1500</f>
        <v>1500</v>
      </c>
      <c r="G484" s="125">
        <f t="shared" si="68"/>
        <v>143337.60000000001</v>
      </c>
      <c r="H484" s="416"/>
      <c r="I484" s="756">
        <f t="shared" si="67"/>
        <v>143337.60000000001</v>
      </c>
      <c r="K484" s="406"/>
      <c r="L484" s="406"/>
      <c r="M484" s="406"/>
      <c r="N484" s="406"/>
      <c r="O484" s="133"/>
      <c r="P484" s="406"/>
    </row>
    <row r="485" spans="1:19" hidden="1" outlineLevel="1">
      <c r="A485" s="401"/>
      <c r="B485" s="84" t="s">
        <v>149</v>
      </c>
      <c r="C485" s="126" t="s">
        <v>65</v>
      </c>
      <c r="D485" s="123">
        <v>1</v>
      </c>
      <c r="E485" s="123">
        <f>((AVERAGE(2.4,2)*0.2*E478)*3+(4.6*0.2*E478)*2)*1.05</f>
        <v>79.632000000000005</v>
      </c>
      <c r="F485" s="124">
        <f>120000</f>
        <v>120000</v>
      </c>
      <c r="G485" s="125">
        <f t="shared" si="68"/>
        <v>9555840</v>
      </c>
      <c r="H485" s="416"/>
      <c r="I485" s="756">
        <f t="shared" si="67"/>
        <v>9555840</v>
      </c>
      <c r="K485" s="406"/>
      <c r="L485" s="406"/>
      <c r="M485" s="406"/>
      <c r="N485" s="406"/>
      <c r="O485" s="133"/>
      <c r="P485" s="406"/>
    </row>
    <row r="486" spans="1:19" hidden="1" outlineLevel="1">
      <c r="A486" s="401"/>
      <c r="B486" s="243" t="s">
        <v>313</v>
      </c>
      <c r="C486" s="244" t="s">
        <v>43</v>
      </c>
      <c r="D486" s="123">
        <v>1</v>
      </c>
      <c r="E486" s="123">
        <f>E478*(4.6+2.4)*2*1.2</f>
        <v>403.2</v>
      </c>
      <c r="F486" s="124">
        <f>750</f>
        <v>750</v>
      </c>
      <c r="G486" s="125">
        <f t="shared" si="68"/>
        <v>302400</v>
      </c>
      <c r="H486" s="416"/>
      <c r="I486" s="756">
        <f t="shared" si="67"/>
        <v>302400</v>
      </c>
      <c r="K486" s="406"/>
      <c r="L486" s="406"/>
      <c r="M486" s="406"/>
      <c r="N486" s="406"/>
      <c r="O486" s="133"/>
      <c r="P486" s="406"/>
    </row>
    <row r="487" spans="1:19" hidden="1" outlineLevel="1">
      <c r="A487" s="401"/>
      <c r="B487" s="84" t="s">
        <v>151</v>
      </c>
      <c r="C487" s="126" t="s">
        <v>152</v>
      </c>
      <c r="D487" s="123">
        <v>1</v>
      </c>
      <c r="E487" s="123">
        <f>(1/0.8)*(E478*AVERAGE(2.4,2)*3)</f>
        <v>198</v>
      </c>
      <c r="F487" s="124"/>
      <c r="G487" s="125"/>
      <c r="H487" s="416"/>
      <c r="I487" s="756">
        <f t="shared" si="67"/>
        <v>0</v>
      </c>
      <c r="K487" s="406"/>
      <c r="L487" s="406"/>
      <c r="M487" s="406"/>
      <c r="N487" s="406"/>
      <c r="O487" s="133"/>
      <c r="P487" s="406"/>
    </row>
    <row r="488" spans="1:19" hidden="1" outlineLevel="1">
      <c r="A488" s="401"/>
      <c r="B488" s="122" t="s">
        <v>285</v>
      </c>
      <c r="C488" s="126" t="s">
        <v>152</v>
      </c>
      <c r="D488" s="123">
        <v>1</v>
      </c>
      <c r="E488" s="123">
        <f>ROUNDUP((E487*0.25)/6,0)</f>
        <v>9</v>
      </c>
      <c r="F488" s="124">
        <v>2900</v>
      </c>
      <c r="G488" s="125">
        <f t="shared" ref="G488:G492" si="71">F488*E488*D488</f>
        <v>26100</v>
      </c>
      <c r="H488" s="416"/>
      <c r="I488" s="756">
        <f t="shared" si="67"/>
        <v>26100</v>
      </c>
      <c r="K488" s="406"/>
      <c r="L488" s="406"/>
      <c r="M488" s="406"/>
      <c r="N488" s="406"/>
      <c r="O488" s="133"/>
      <c r="P488" s="406"/>
    </row>
    <row r="489" spans="1:19" s="214" customFormat="1" hidden="1" outlineLevel="1">
      <c r="A489" s="402"/>
      <c r="B489" s="230" t="s">
        <v>154</v>
      </c>
      <c r="C489" s="33" t="s">
        <v>65</v>
      </c>
      <c r="D489" s="123">
        <v>1</v>
      </c>
      <c r="E489" s="211">
        <f>(E478*4.6*2.5)*1.2+E491</f>
        <v>470.30399999999997</v>
      </c>
      <c r="F489" s="212">
        <f>$K$199</f>
        <v>5021.5015547439907</v>
      </c>
      <c r="G489" s="233">
        <f t="shared" si="71"/>
        <v>2361632.2672023177</v>
      </c>
      <c r="H489" s="416"/>
      <c r="I489" s="756">
        <f t="shared" si="67"/>
        <v>2361632.2672023177</v>
      </c>
      <c r="J489" s="520"/>
      <c r="K489" s="406"/>
      <c r="L489" s="406"/>
      <c r="M489" s="450"/>
      <c r="N489" s="450"/>
      <c r="O489" s="449"/>
      <c r="P489" s="450"/>
      <c r="R489" s="407"/>
      <c r="S489" s="407"/>
    </row>
    <row r="490" spans="1:19" s="214" customFormat="1" hidden="1" outlineLevel="1">
      <c r="A490" s="402"/>
      <c r="B490" s="230" t="s">
        <v>301</v>
      </c>
      <c r="C490" s="33" t="s">
        <v>65</v>
      </c>
      <c r="D490" s="123">
        <v>1</v>
      </c>
      <c r="E490" s="211">
        <f>E489-(E478*4.6*2.5)-E491</f>
        <v>55.199999999999989</v>
      </c>
      <c r="F490" s="212">
        <f>F489*1.05</f>
        <v>5272.5766324811902</v>
      </c>
      <c r="G490" s="233">
        <f t="shared" si="71"/>
        <v>291046.23011296167</v>
      </c>
      <c r="H490" s="416"/>
      <c r="I490" s="756">
        <f t="shared" si="67"/>
        <v>291046.23011296167</v>
      </c>
      <c r="J490" s="520"/>
      <c r="K490" s="406"/>
      <c r="L490" s="406"/>
      <c r="M490" s="450"/>
      <c r="N490" s="450"/>
      <c r="O490" s="449"/>
      <c r="P490" s="450"/>
      <c r="R490" s="407"/>
      <c r="S490" s="407"/>
    </row>
    <row r="491" spans="1:19" s="214" customFormat="1" hidden="1" outlineLevel="1">
      <c r="A491" s="402"/>
      <c r="B491" s="230" t="s">
        <v>229</v>
      </c>
      <c r="C491" s="33" t="s">
        <v>65</v>
      </c>
      <c r="D491" s="123">
        <v>1</v>
      </c>
      <c r="E491" s="211">
        <f>(4.6*E478*AVERAGE(1.4,1))*1.05</f>
        <v>139.10399999999998</v>
      </c>
      <c r="F491" s="212">
        <f>120000/14</f>
        <v>8571.4285714285706</v>
      </c>
      <c r="G491" s="233">
        <f t="shared" si="71"/>
        <v>1192319.9999999998</v>
      </c>
      <c r="H491" s="416"/>
      <c r="I491" s="756">
        <f t="shared" si="67"/>
        <v>1192319.9999999998</v>
      </c>
      <c r="J491" s="520"/>
      <c r="K491" s="406"/>
      <c r="L491" s="406"/>
      <c r="M491" s="450"/>
      <c r="N491" s="450"/>
      <c r="O491" s="449"/>
      <c r="P491" s="450"/>
      <c r="R491" s="407"/>
      <c r="S491" s="407"/>
    </row>
    <row r="492" spans="1:19" s="214" customFormat="1" hidden="1" outlineLevel="1">
      <c r="A492" s="402"/>
      <c r="B492" s="230" t="s">
        <v>300</v>
      </c>
      <c r="C492" s="17" t="s">
        <v>65</v>
      </c>
      <c r="D492" s="123">
        <v>1</v>
      </c>
      <c r="E492" s="231">
        <f>E485</f>
        <v>79.632000000000005</v>
      </c>
      <c r="F492" s="232">
        <f>104000</f>
        <v>104000</v>
      </c>
      <c r="G492" s="233">
        <f t="shared" si="71"/>
        <v>8281728.0000000009</v>
      </c>
      <c r="H492" s="416"/>
      <c r="I492" s="756">
        <f t="shared" si="67"/>
        <v>8281728.0000000009</v>
      </c>
      <c r="J492" s="520"/>
      <c r="K492" s="406"/>
      <c r="L492" s="406"/>
      <c r="M492" s="450"/>
      <c r="N492" s="450"/>
      <c r="O492" s="449"/>
      <c r="P492" s="450"/>
      <c r="R492" s="407"/>
      <c r="S492" s="407"/>
    </row>
    <row r="493" spans="1:19" s="214" customFormat="1" hidden="1" outlineLevel="1">
      <c r="A493" s="402"/>
      <c r="B493" s="230" t="s">
        <v>586</v>
      </c>
      <c r="C493" s="17" t="s">
        <v>41</v>
      </c>
      <c r="D493" s="123">
        <v>1</v>
      </c>
      <c r="E493" s="298">
        <v>3.5000000000000003E-2</v>
      </c>
      <c r="F493" s="232">
        <f>SUM(G478:G492)</f>
        <v>34140376.001315281</v>
      </c>
      <c r="G493" s="233">
        <f t="shared" ref="G493" si="72">F493*E493*D493</f>
        <v>1194913.160046035</v>
      </c>
      <c r="H493" s="416"/>
      <c r="I493" s="756">
        <f t="shared" si="67"/>
        <v>1194913.160046035</v>
      </c>
      <c r="J493" s="520"/>
      <c r="K493" s="406"/>
      <c r="L493" s="406"/>
      <c r="M493" s="450"/>
      <c r="N493" s="450"/>
      <c r="O493" s="449"/>
      <c r="P493" s="450"/>
      <c r="R493" s="407"/>
      <c r="S493" s="407"/>
    </row>
    <row r="494" spans="1:19" hidden="1" outlineLevel="1">
      <c r="A494" s="401"/>
      <c r="B494" s="83"/>
      <c r="C494" s="126"/>
      <c r="D494" s="123"/>
      <c r="E494" s="123"/>
      <c r="F494" s="124"/>
      <c r="G494" s="125"/>
      <c r="H494" s="416"/>
      <c r="I494" s="756">
        <f t="shared" si="67"/>
        <v>0</v>
      </c>
      <c r="K494" s="406"/>
      <c r="L494" s="483"/>
      <c r="M494" s="406"/>
      <c r="N494" s="406"/>
      <c r="O494" s="133"/>
      <c r="P494" s="406"/>
    </row>
    <row r="495" spans="1:19" collapsed="1">
      <c r="A495" s="399">
        <v>505</v>
      </c>
      <c r="B495" s="83" t="s">
        <v>610</v>
      </c>
      <c r="C495" s="126"/>
      <c r="D495" s="123"/>
      <c r="E495" s="123"/>
      <c r="F495" s="124"/>
      <c r="G495" s="125"/>
      <c r="H495" s="416"/>
      <c r="I495" s="405"/>
      <c r="K495" s="406"/>
      <c r="L495" s="406"/>
      <c r="M495" s="406"/>
      <c r="N495" s="406"/>
      <c r="O495" s="133"/>
      <c r="P495" s="406"/>
    </row>
    <row r="496" spans="1:19" ht="26.4">
      <c r="A496" s="378" t="s">
        <v>768</v>
      </c>
      <c r="B496" s="121" t="s">
        <v>190</v>
      </c>
      <c r="C496" s="126" t="s">
        <v>111</v>
      </c>
      <c r="D496" s="123">
        <v>1</v>
      </c>
      <c r="E496" s="123">
        <v>782</v>
      </c>
      <c r="F496" s="124">
        <f>F459</f>
        <v>252880</v>
      </c>
      <c r="G496" s="125">
        <f>F496*E496</f>
        <v>197752160</v>
      </c>
      <c r="H496" s="416"/>
      <c r="I496" s="756">
        <f>G496</f>
        <v>197752160</v>
      </c>
      <c r="K496" s="483"/>
      <c r="L496" s="483"/>
      <c r="M496" s="406"/>
      <c r="N496" s="406"/>
      <c r="O496" s="133"/>
      <c r="P496" s="406"/>
    </row>
    <row r="497" spans="1:19">
      <c r="A497" s="378" t="s">
        <v>769</v>
      </c>
      <c r="B497" s="294" t="s">
        <v>587</v>
      </c>
      <c r="C497" s="126" t="s">
        <v>111</v>
      </c>
      <c r="D497" s="123">
        <v>1</v>
      </c>
      <c r="E497" s="123">
        <v>16</v>
      </c>
      <c r="F497" s="124">
        <f>MROUND(O497,10)</f>
        <v>2709850</v>
      </c>
      <c r="G497" s="125">
        <f>F497*E497</f>
        <v>43357600</v>
      </c>
      <c r="H497" s="416"/>
      <c r="I497" s="756">
        <f>G497</f>
        <v>43357600</v>
      </c>
      <c r="K497" s="409">
        <f>SUM(G498:G514)/$E498</f>
        <v>2084298.7833238493</v>
      </c>
      <c r="L497" s="409">
        <f>K497*$L$344</f>
        <v>26053.734791548119</v>
      </c>
      <c r="M497" s="409">
        <f>K497*$M$344</f>
        <v>25011.585399886193</v>
      </c>
      <c r="N497" s="409">
        <f>SUM(K497:M497)</f>
        <v>2135364.1035152837</v>
      </c>
      <c r="O497" s="410">
        <f>N497/$R$346</f>
        <v>2709852.9232427455</v>
      </c>
      <c r="P497" s="409">
        <f>O497-N497</f>
        <v>574488.81972746179</v>
      </c>
      <c r="Q497" s="474">
        <f>1-K497/F497</f>
        <v>0.23084348457521664</v>
      </c>
      <c r="R497" s="415">
        <f>G497/E505</f>
        <v>576073.55442176864</v>
      </c>
    </row>
    <row r="498" spans="1:19" hidden="1" outlineLevel="1">
      <c r="A498" s="403"/>
      <c r="B498" s="294" t="s">
        <v>577</v>
      </c>
      <c r="C498" s="295" t="s">
        <v>111</v>
      </c>
      <c r="D498" s="123">
        <v>1</v>
      </c>
      <c r="E498" s="123">
        <f>E497</f>
        <v>16</v>
      </c>
      <c r="F498" s="124"/>
      <c r="G498" s="125"/>
      <c r="H498" s="416"/>
      <c r="I498" s="756">
        <f t="shared" si="67"/>
        <v>0</v>
      </c>
      <c r="J498" s="528"/>
      <c r="K498" s="409"/>
      <c r="L498" s="409"/>
      <c r="M498" s="409"/>
      <c r="N498" s="409"/>
      <c r="O498" s="410"/>
      <c r="P498" s="409"/>
      <c r="Q498" s="474"/>
    </row>
    <row r="499" spans="1:19" hidden="1" outlineLevel="1">
      <c r="A499" s="403"/>
      <c r="B499" s="84" t="s">
        <v>141</v>
      </c>
      <c r="C499" s="126" t="s">
        <v>65</v>
      </c>
      <c r="D499" s="123">
        <v>1</v>
      </c>
      <c r="E499" s="123">
        <f>(6.8*E498*0.1)*1.1</f>
        <v>11.968000000000002</v>
      </c>
      <c r="F499" s="124">
        <v>100000</v>
      </c>
      <c r="G499" s="125">
        <f>F499*E499*D499</f>
        <v>1196800.0000000002</v>
      </c>
      <c r="H499" s="416"/>
      <c r="I499" s="756">
        <f t="shared" si="67"/>
        <v>1196800.0000000002</v>
      </c>
      <c r="K499" s="406"/>
      <c r="L499" s="406"/>
      <c r="M499" s="406"/>
      <c r="N499" s="406"/>
      <c r="O499" s="133"/>
      <c r="P499" s="406"/>
      <c r="R499" s="458">
        <f>G499-G479</f>
        <v>-17599.999999999767</v>
      </c>
    </row>
    <row r="500" spans="1:19" hidden="1" outlineLevel="1">
      <c r="A500" s="403"/>
      <c r="B500" s="84" t="s">
        <v>144</v>
      </c>
      <c r="C500" s="126" t="s">
        <v>179</v>
      </c>
      <c r="D500" s="123">
        <v>1</v>
      </c>
      <c r="E500" s="123">
        <f>(AVERAGE(2.4,2)*E498*11)*1.02</f>
        <v>394.94400000000007</v>
      </c>
      <c r="F500" s="124">
        <f>13988</f>
        <v>13988</v>
      </c>
      <c r="G500" s="125">
        <f t="shared" ref="G500:G506" si="73">F500*E500*D500</f>
        <v>5524476.6720000012</v>
      </c>
      <c r="H500" s="416"/>
      <c r="I500" s="756">
        <f t="shared" si="67"/>
        <v>5524476.6720000012</v>
      </c>
      <c r="K500" s="406"/>
      <c r="L500" s="406"/>
      <c r="M500" s="406"/>
      <c r="N500" s="406"/>
      <c r="O500" s="133"/>
      <c r="P500" s="406"/>
      <c r="R500" s="458">
        <f>G500-G480</f>
        <v>-502225.15199999977</v>
      </c>
    </row>
    <row r="501" spans="1:19" hidden="1" outlineLevel="1">
      <c r="A501" s="403"/>
      <c r="B501" s="297" t="s">
        <v>584</v>
      </c>
      <c r="C501" s="295" t="s">
        <v>94</v>
      </c>
      <c r="D501" s="123">
        <v>1</v>
      </c>
      <c r="E501" s="123">
        <f>E500*0.15</f>
        <v>59.241600000000005</v>
      </c>
      <c r="F501" s="124">
        <f>1400</f>
        <v>1400</v>
      </c>
      <c r="G501" s="125">
        <f t="shared" si="73"/>
        <v>82938.240000000005</v>
      </c>
      <c r="H501" s="416"/>
      <c r="I501" s="756">
        <f t="shared" si="67"/>
        <v>82938.240000000005</v>
      </c>
      <c r="K501" s="406"/>
      <c r="L501" s="406"/>
      <c r="M501" s="406"/>
      <c r="N501" s="406"/>
      <c r="O501" s="133"/>
      <c r="P501" s="406"/>
      <c r="R501" s="458">
        <f>G501-G481</f>
        <v>-7539.8399999999965</v>
      </c>
    </row>
    <row r="502" spans="1:19" hidden="1" outlineLevel="1">
      <c r="A502" s="403"/>
      <c r="B502" s="297" t="s">
        <v>585</v>
      </c>
      <c r="C502" s="295" t="s">
        <v>94</v>
      </c>
      <c r="D502" s="123">
        <v>1</v>
      </c>
      <c r="E502" s="123">
        <f>ROUNDUP(((E498*2.4)*2*0.45)/25,0)</f>
        <v>2</v>
      </c>
      <c r="F502" s="124">
        <f>65000</f>
        <v>65000</v>
      </c>
      <c r="G502" s="125">
        <f t="shared" si="73"/>
        <v>130000</v>
      </c>
      <c r="H502" s="416"/>
      <c r="I502" s="756">
        <f t="shared" si="67"/>
        <v>130000</v>
      </c>
      <c r="K502" s="406"/>
      <c r="L502" s="406"/>
      <c r="M502" s="406"/>
      <c r="N502" s="406"/>
      <c r="O502" s="133"/>
      <c r="P502" s="406"/>
      <c r="R502" s="458">
        <f>G502-G482</f>
        <v>-65000</v>
      </c>
    </row>
    <row r="503" spans="1:19" hidden="1" outlineLevel="1">
      <c r="A503" s="403"/>
      <c r="B503" s="84" t="s">
        <v>147</v>
      </c>
      <c r="C503" s="126" t="s">
        <v>94</v>
      </c>
      <c r="D503" s="123">
        <v>1</v>
      </c>
      <c r="E503" s="123">
        <f>E505*80</f>
        <v>6021.1200000000008</v>
      </c>
      <c r="F503" s="124">
        <v>700</v>
      </c>
      <c r="G503" s="125">
        <f t="shared" si="73"/>
        <v>4214784.0000000009</v>
      </c>
      <c r="H503" s="416"/>
      <c r="I503" s="756">
        <f t="shared" si="67"/>
        <v>4214784.0000000009</v>
      </c>
      <c r="K503" s="406"/>
      <c r="L503" s="406"/>
      <c r="M503" s="406"/>
      <c r="N503" s="406"/>
      <c r="O503" s="133"/>
      <c r="P503" s="406"/>
      <c r="R503" s="458">
        <f>G503-G483</f>
        <v>-244607.99999999907</v>
      </c>
    </row>
    <row r="504" spans="1:19" hidden="1" outlineLevel="1">
      <c r="A504" s="403"/>
      <c r="B504" s="122" t="s">
        <v>95</v>
      </c>
      <c r="C504" s="126" t="s">
        <v>94</v>
      </c>
      <c r="D504" s="123">
        <v>1</v>
      </c>
      <c r="E504" s="123">
        <f>E503*1.5%</f>
        <v>90.316800000000015</v>
      </c>
      <c r="F504" s="124">
        <f>1500</f>
        <v>1500</v>
      </c>
      <c r="G504" s="125">
        <f t="shared" si="73"/>
        <v>135475.20000000001</v>
      </c>
      <c r="H504" s="416"/>
      <c r="I504" s="756">
        <f t="shared" si="67"/>
        <v>135475.20000000001</v>
      </c>
      <c r="K504" s="406"/>
      <c r="L504" s="406"/>
      <c r="M504" s="406"/>
      <c r="N504" s="406"/>
      <c r="O504" s="133"/>
      <c r="P504" s="406"/>
      <c r="R504" s="458">
        <f>G504-G484</f>
        <v>-7862.3999999999942</v>
      </c>
    </row>
    <row r="505" spans="1:19" hidden="1" outlineLevel="1">
      <c r="A505" s="403"/>
      <c r="B505" s="84" t="s">
        <v>149</v>
      </c>
      <c r="C505" s="126" t="s">
        <v>65</v>
      </c>
      <c r="D505" s="123">
        <v>1</v>
      </c>
      <c r="E505" s="123">
        <f>((AVERAGE(2.4,2)*0.2*E498)*4+(6.8*0.2*E498)*2)*1.05</f>
        <v>75.26400000000001</v>
      </c>
      <c r="F505" s="124">
        <f>120000</f>
        <v>120000</v>
      </c>
      <c r="G505" s="125">
        <f>F505*E505*D505</f>
        <v>9031680.0000000019</v>
      </c>
      <c r="H505" s="416"/>
      <c r="I505" s="756">
        <f t="shared" si="67"/>
        <v>9031680.0000000019</v>
      </c>
      <c r="K505" s="406"/>
      <c r="L505" s="406"/>
      <c r="M505" s="406"/>
      <c r="N505" s="406"/>
      <c r="O505" s="133"/>
      <c r="P505" s="406"/>
      <c r="R505" s="458">
        <f>G505-G485</f>
        <v>-524159.99999999814</v>
      </c>
    </row>
    <row r="506" spans="1:19" hidden="1" outlineLevel="1">
      <c r="A506" s="403"/>
      <c r="B506" s="243" t="s">
        <v>313</v>
      </c>
      <c r="C506" s="244" t="s">
        <v>43</v>
      </c>
      <c r="D506" s="123">
        <v>1</v>
      </c>
      <c r="E506" s="123">
        <f>E498*(6.8+2.4)*2*1.2</f>
        <v>353.28</v>
      </c>
      <c r="F506" s="124">
        <f>750</f>
        <v>750</v>
      </c>
      <c r="G506" s="125">
        <f t="shared" si="73"/>
        <v>264960</v>
      </c>
      <c r="H506" s="416"/>
      <c r="I506" s="756">
        <f t="shared" si="67"/>
        <v>264960</v>
      </c>
      <c r="K506" s="406"/>
      <c r="L506" s="406"/>
      <c r="M506" s="406"/>
      <c r="N506" s="406"/>
      <c r="O506" s="133"/>
      <c r="P506" s="406"/>
      <c r="R506" s="458">
        <f>G506-G486</f>
        <v>-37440</v>
      </c>
    </row>
    <row r="507" spans="1:19" hidden="1" outlineLevel="1">
      <c r="A507" s="403"/>
      <c r="B507" s="84" t="s">
        <v>151</v>
      </c>
      <c r="C507" s="126" t="s">
        <v>152</v>
      </c>
      <c r="D507" s="123">
        <v>1</v>
      </c>
      <c r="E507" s="123">
        <f>(1/0.8)*(E498*AVERAGE(2.4,2)*4)</f>
        <v>176</v>
      </c>
      <c r="F507" s="124"/>
      <c r="G507" s="125"/>
      <c r="H507" s="416"/>
      <c r="I507" s="756">
        <f t="shared" si="67"/>
        <v>0</v>
      </c>
      <c r="K507" s="406"/>
      <c r="L507" s="406"/>
      <c r="M507" s="406"/>
      <c r="N507" s="406"/>
      <c r="O507" s="133"/>
      <c r="P507" s="406"/>
      <c r="R507" s="458">
        <f>G507-G487</f>
        <v>0</v>
      </c>
    </row>
    <row r="508" spans="1:19" hidden="1" outlineLevel="1">
      <c r="A508" s="403"/>
      <c r="B508" s="122" t="s">
        <v>285</v>
      </c>
      <c r="C508" s="126" t="s">
        <v>152</v>
      </c>
      <c r="D508" s="123">
        <v>1</v>
      </c>
      <c r="E508" s="123">
        <f>ROUNDUP((E507*0.25)/6,0)</f>
        <v>8</v>
      </c>
      <c r="F508" s="124">
        <v>2900</v>
      </c>
      <c r="G508" s="125">
        <f t="shared" ref="G508:G513" si="74">F508*E508*D508</f>
        <v>23200</v>
      </c>
      <c r="H508" s="416"/>
      <c r="I508" s="756">
        <f t="shared" si="67"/>
        <v>23200</v>
      </c>
      <c r="K508" s="406"/>
      <c r="L508" s="406"/>
      <c r="M508" s="406"/>
      <c r="N508" s="406"/>
      <c r="O508" s="133"/>
      <c r="P508" s="406"/>
      <c r="R508" s="458">
        <f>G508-G488</f>
        <v>-2900</v>
      </c>
    </row>
    <row r="509" spans="1:19" s="214" customFormat="1" hidden="1" outlineLevel="1">
      <c r="A509" s="402"/>
      <c r="B509" s="230" t="s">
        <v>154</v>
      </c>
      <c r="C509" s="33" t="s">
        <v>65</v>
      </c>
      <c r="D509" s="123">
        <v>1</v>
      </c>
      <c r="E509" s="211">
        <f>(E498*6.8*2.5)*1.2+E511</f>
        <v>463.488</v>
      </c>
      <c r="F509" s="212">
        <f>$K$199</f>
        <v>5021.5015547439907</v>
      </c>
      <c r="G509" s="233">
        <f t="shared" si="74"/>
        <v>2327405.7126051825</v>
      </c>
      <c r="H509" s="416"/>
      <c r="I509" s="756">
        <f t="shared" si="67"/>
        <v>2327405.7126051825</v>
      </c>
      <c r="J509" s="520"/>
      <c r="K509" s="406"/>
      <c r="L509" s="406"/>
      <c r="M509" s="450"/>
      <c r="N509" s="450"/>
      <c r="O509" s="449"/>
      <c r="P509" s="450"/>
      <c r="R509" s="458">
        <f>G509-G489</f>
        <v>-34226.554597135168</v>
      </c>
      <c r="S509" s="407"/>
    </row>
    <row r="510" spans="1:19" s="214" customFormat="1" hidden="1" outlineLevel="1">
      <c r="A510" s="402"/>
      <c r="B510" s="230" t="s">
        <v>301</v>
      </c>
      <c r="C510" s="33" t="s">
        <v>65</v>
      </c>
      <c r="D510" s="123">
        <v>1</v>
      </c>
      <c r="E510" s="211">
        <f>E509-(E498*6.8*2.5)-E511</f>
        <v>54.399999999999977</v>
      </c>
      <c r="F510" s="212">
        <f>F509*1.05</f>
        <v>5272.5766324811902</v>
      </c>
      <c r="G510" s="233">
        <f>F510*E510*D510</f>
        <v>286828.16880697664</v>
      </c>
      <c r="H510" s="416"/>
      <c r="I510" s="756">
        <f t="shared" si="67"/>
        <v>286828.16880697664</v>
      </c>
      <c r="J510" s="520"/>
      <c r="K510" s="406"/>
      <c r="L510" s="406"/>
      <c r="M510" s="450"/>
      <c r="N510" s="450"/>
      <c r="O510" s="449"/>
      <c r="P510" s="450"/>
      <c r="R510" s="458">
        <f>G510-G490</f>
        <v>-4218.0613059850293</v>
      </c>
      <c r="S510" s="407"/>
    </row>
    <row r="511" spans="1:19" s="214" customFormat="1" hidden="1" outlineLevel="1">
      <c r="A511" s="402"/>
      <c r="B511" s="230" t="s">
        <v>229</v>
      </c>
      <c r="C511" s="33" t="s">
        <v>65</v>
      </c>
      <c r="D511" s="123">
        <v>1</v>
      </c>
      <c r="E511" s="211">
        <f>(6.8*E498*AVERAGE(1.4,1))*1.05</f>
        <v>137.08800000000002</v>
      </c>
      <c r="F511" s="212">
        <f>120000/14</f>
        <v>8571.4285714285706</v>
      </c>
      <c r="G511" s="233">
        <f t="shared" si="74"/>
        <v>1175040</v>
      </c>
      <c r="H511" s="416"/>
      <c r="I511" s="756">
        <f t="shared" si="67"/>
        <v>1175040</v>
      </c>
      <c r="J511" s="520"/>
      <c r="K511" s="406"/>
      <c r="L511" s="406"/>
      <c r="M511" s="450"/>
      <c r="N511" s="450"/>
      <c r="O511" s="449"/>
      <c r="P511" s="450"/>
      <c r="R511" s="458">
        <f>G511-G491</f>
        <v>-17279.999999999767</v>
      </c>
      <c r="S511" s="407"/>
    </row>
    <row r="512" spans="1:19" s="214" customFormat="1" hidden="1" outlineLevel="1">
      <c r="A512" s="402"/>
      <c r="B512" s="230" t="s">
        <v>300</v>
      </c>
      <c r="C512" s="17" t="s">
        <v>65</v>
      </c>
      <c r="D512" s="123">
        <v>1</v>
      </c>
      <c r="E512" s="231">
        <f>E505</f>
        <v>75.26400000000001</v>
      </c>
      <c r="F512" s="232">
        <f>104000</f>
        <v>104000</v>
      </c>
      <c r="G512" s="233">
        <f t="shared" si="74"/>
        <v>7827456.0000000009</v>
      </c>
      <c r="H512" s="416"/>
      <c r="I512" s="756">
        <f t="shared" si="67"/>
        <v>7827456.0000000009</v>
      </c>
      <c r="J512" s="520"/>
      <c r="K512" s="406"/>
      <c r="L512" s="406"/>
      <c r="M512" s="450"/>
      <c r="N512" s="450"/>
      <c r="O512" s="449"/>
      <c r="P512" s="450"/>
      <c r="R512" s="458">
        <f>G512-G492</f>
        <v>-454272</v>
      </c>
      <c r="S512" s="407"/>
    </row>
    <row r="513" spans="1:19" s="214" customFormat="1" hidden="1" outlineLevel="1">
      <c r="A513" s="402"/>
      <c r="B513" s="230" t="s">
        <v>586</v>
      </c>
      <c r="C513" s="17" t="s">
        <v>41</v>
      </c>
      <c r="D513" s="123">
        <v>1</v>
      </c>
      <c r="E513" s="298">
        <v>3.5000000000000003E-2</v>
      </c>
      <c r="F513" s="232">
        <f>SUM(G498:G512)</f>
        <v>32221043.993412163</v>
      </c>
      <c r="G513" s="233">
        <f t="shared" si="74"/>
        <v>1127736.5397694258</v>
      </c>
      <c r="H513" s="416"/>
      <c r="I513" s="756">
        <f t="shared" si="67"/>
        <v>1127736.5397694258</v>
      </c>
      <c r="J513" s="520"/>
      <c r="K513" s="406"/>
      <c r="L513" s="406"/>
      <c r="M513" s="450"/>
      <c r="N513" s="450"/>
      <c r="O513" s="449"/>
      <c r="P513" s="450"/>
      <c r="Q513" s="486">
        <f>SUM(R499:R513)</f>
        <v>-1986508.628179726</v>
      </c>
      <c r="R513" s="458">
        <f>G513-G493</f>
        <v>-67176.620276609203</v>
      </c>
      <c r="S513" s="407"/>
    </row>
    <row r="514" spans="1:19" hidden="1" outlineLevel="1">
      <c r="A514" s="403"/>
      <c r="B514" s="83"/>
      <c r="C514" s="126"/>
      <c r="D514" s="123"/>
      <c r="E514" s="123"/>
      <c r="F514" s="124"/>
      <c r="G514" s="125"/>
      <c r="H514" s="416"/>
      <c r="I514" s="756">
        <f t="shared" si="67"/>
        <v>0</v>
      </c>
      <c r="K514" s="406"/>
      <c r="L514" s="483"/>
      <c r="M514" s="406"/>
      <c r="N514" s="406"/>
      <c r="O514" s="133"/>
      <c r="P514" s="406"/>
    </row>
    <row r="515" spans="1:19" collapsed="1">
      <c r="A515" s="378" t="s">
        <v>770</v>
      </c>
      <c r="B515" s="759" t="s">
        <v>776</v>
      </c>
      <c r="C515" s="126" t="s">
        <v>111</v>
      </c>
      <c r="D515" s="123">
        <v>1</v>
      </c>
      <c r="E515" s="123">
        <v>16</v>
      </c>
      <c r="F515" s="124">
        <f>MROUND(O515,10)</f>
        <v>555280</v>
      </c>
      <c r="G515" s="125">
        <f>F515*E515</f>
        <v>8884480</v>
      </c>
      <c r="H515" s="416"/>
      <c r="I515" s="756">
        <f>G515</f>
        <v>8884480</v>
      </c>
      <c r="K515" s="409">
        <f>SUM(G516:G532)/$E516</f>
        <v>427097.75484616542</v>
      </c>
      <c r="L515" s="409">
        <f>K515*$L$344</f>
        <v>5338.7219355770685</v>
      </c>
      <c r="M515" s="409">
        <f>K515*$M$344</f>
        <v>5125.173058153985</v>
      </c>
      <c r="N515" s="409">
        <f>SUM(K515:M515)</f>
        <v>437561.64983989648</v>
      </c>
      <c r="O515" s="410">
        <f>N515/$R$346</f>
        <v>555281.28152271127</v>
      </c>
      <c r="P515" s="409">
        <f>O515-N515</f>
        <v>117719.6316828148</v>
      </c>
      <c r="Q515" s="474">
        <f>1-K515/F515</f>
        <v>0.23084253917633368</v>
      </c>
      <c r="R515" s="415">
        <f>G515/E523</f>
        <v>550873.01587301586</v>
      </c>
    </row>
    <row r="516" spans="1:19" hidden="1" outlineLevel="1">
      <c r="A516" s="401"/>
      <c r="B516" s="294" t="s">
        <v>577</v>
      </c>
      <c r="C516" s="295" t="s">
        <v>111</v>
      </c>
      <c r="D516" s="123"/>
      <c r="E516" s="123">
        <f>E515</f>
        <v>16</v>
      </c>
      <c r="F516" s="124"/>
      <c r="G516" s="125"/>
      <c r="H516" s="416"/>
      <c r="I516" s="756">
        <f t="shared" si="67"/>
        <v>0</v>
      </c>
      <c r="J516" s="528"/>
      <c r="K516" s="409"/>
      <c r="L516" s="409"/>
      <c r="M516" s="409"/>
      <c r="N516" s="409"/>
      <c r="O516" s="410"/>
      <c r="P516" s="409"/>
      <c r="Q516" s="474"/>
    </row>
    <row r="517" spans="1:19" hidden="1" outlineLevel="1">
      <c r="A517" s="401"/>
      <c r="B517" s="84" t="s">
        <v>141</v>
      </c>
      <c r="C517" s="126" t="s">
        <v>65</v>
      </c>
      <c r="D517" s="123">
        <v>1</v>
      </c>
      <c r="E517" s="123">
        <f>(1.4*E516*0.1)*1.1</f>
        <v>2.464</v>
      </c>
      <c r="F517" s="124">
        <v>100000</v>
      </c>
      <c r="G517" s="125">
        <f>F517*E517*D517</f>
        <v>246400</v>
      </c>
      <c r="H517" s="416"/>
      <c r="I517" s="756">
        <f t="shared" si="67"/>
        <v>246400</v>
      </c>
      <c r="K517" s="406"/>
      <c r="L517" s="406"/>
      <c r="M517" s="406"/>
      <c r="N517" s="406"/>
      <c r="O517" s="133"/>
      <c r="P517" s="406"/>
    </row>
    <row r="518" spans="1:19" hidden="1" outlineLevel="1">
      <c r="A518" s="401"/>
      <c r="B518" s="84" t="s">
        <v>144</v>
      </c>
      <c r="C518" s="126" t="s">
        <v>179</v>
      </c>
      <c r="D518" s="123">
        <v>1</v>
      </c>
      <c r="E518" s="123">
        <f>(AVERAGE(1.4,1)*E516*5)*1.02</f>
        <v>97.92</v>
      </c>
      <c r="F518" s="124">
        <f>13988</f>
        <v>13988</v>
      </c>
      <c r="G518" s="125">
        <f t="shared" ref="G518:G524" si="75">F518*E518*D518</f>
        <v>1369704.96</v>
      </c>
      <c r="H518" s="416"/>
      <c r="I518" s="756">
        <f t="shared" si="67"/>
        <v>1369704.96</v>
      </c>
      <c r="K518" s="406"/>
      <c r="L518" s="406"/>
      <c r="M518" s="406"/>
      <c r="N518" s="406"/>
      <c r="O518" s="133"/>
      <c r="P518" s="406"/>
    </row>
    <row r="519" spans="1:19" hidden="1" outlineLevel="1">
      <c r="A519" s="401"/>
      <c r="B519" s="297" t="s">
        <v>584</v>
      </c>
      <c r="C519" s="295" t="s">
        <v>94</v>
      </c>
      <c r="D519" s="123">
        <v>1</v>
      </c>
      <c r="E519" s="123">
        <f>E518*0.15</f>
        <v>14.687999999999999</v>
      </c>
      <c r="F519" s="124">
        <f>1400</f>
        <v>1400</v>
      </c>
      <c r="G519" s="125">
        <f t="shared" si="75"/>
        <v>20563.199999999997</v>
      </c>
      <c r="H519" s="416"/>
      <c r="I519" s="756">
        <f t="shared" si="67"/>
        <v>20563.199999999997</v>
      </c>
      <c r="K519" s="406"/>
      <c r="L519" s="406"/>
      <c r="M519" s="406"/>
      <c r="N519" s="406"/>
      <c r="O519" s="133"/>
      <c r="P519" s="406"/>
    </row>
    <row r="520" spans="1:19" hidden="1" outlineLevel="1">
      <c r="A520" s="401"/>
      <c r="B520" s="297" t="s">
        <v>585</v>
      </c>
      <c r="C520" s="295" t="s">
        <v>94</v>
      </c>
      <c r="D520" s="123">
        <v>1</v>
      </c>
      <c r="E520" s="123">
        <f>ROUNDUP(((E516*1.4)*2*0.45)/25,0)</f>
        <v>1</v>
      </c>
      <c r="F520" s="124">
        <f>65000</f>
        <v>65000</v>
      </c>
      <c r="G520" s="125">
        <f t="shared" si="75"/>
        <v>65000</v>
      </c>
      <c r="H520" s="416"/>
      <c r="I520" s="756">
        <f t="shared" si="67"/>
        <v>65000</v>
      </c>
      <c r="K520" s="406"/>
      <c r="L520" s="406"/>
      <c r="M520" s="406"/>
      <c r="N520" s="406"/>
      <c r="O520" s="133"/>
      <c r="P520" s="406"/>
    </row>
    <row r="521" spans="1:19" hidden="1" outlineLevel="1">
      <c r="A521" s="401"/>
      <c r="B521" s="84" t="s">
        <v>147</v>
      </c>
      <c r="C521" s="126" t="s">
        <v>94</v>
      </c>
      <c r="D521" s="123">
        <v>1</v>
      </c>
      <c r="E521" s="123">
        <f>E523*80</f>
        <v>1290.24</v>
      </c>
      <c r="F521" s="124">
        <v>700</v>
      </c>
      <c r="G521" s="125">
        <f t="shared" si="75"/>
        <v>903168</v>
      </c>
      <c r="H521" s="416"/>
      <c r="I521" s="756">
        <f t="shared" si="67"/>
        <v>903168</v>
      </c>
      <c r="K521" s="406"/>
      <c r="L521" s="406"/>
      <c r="M521" s="406"/>
      <c r="N521" s="406"/>
      <c r="O521" s="133"/>
      <c r="P521" s="406"/>
    </row>
    <row r="522" spans="1:19" hidden="1" outlineLevel="1">
      <c r="A522" s="401"/>
      <c r="B522" s="122" t="s">
        <v>95</v>
      </c>
      <c r="C522" s="126" t="s">
        <v>94</v>
      </c>
      <c r="D522" s="123">
        <v>1</v>
      </c>
      <c r="E522" s="123">
        <f>E521*1.5%</f>
        <v>19.3536</v>
      </c>
      <c r="F522" s="124">
        <f>1500</f>
        <v>1500</v>
      </c>
      <c r="G522" s="125">
        <f t="shared" si="75"/>
        <v>29030.400000000001</v>
      </c>
      <c r="H522" s="416"/>
      <c r="I522" s="756">
        <f t="shared" si="67"/>
        <v>29030.400000000001</v>
      </c>
      <c r="K522" s="406"/>
      <c r="L522" s="406"/>
      <c r="M522" s="406"/>
      <c r="N522" s="406"/>
      <c r="O522" s="133"/>
      <c r="P522" s="406"/>
    </row>
    <row r="523" spans="1:19" hidden="1" outlineLevel="1">
      <c r="A523" s="401"/>
      <c r="B523" s="84" t="s">
        <v>149</v>
      </c>
      <c r="C523" s="126" t="s">
        <v>65</v>
      </c>
      <c r="D523" s="123">
        <v>1</v>
      </c>
      <c r="E523" s="123">
        <f>(AVERAGE(1.4,1)*0.2*4*E516)*1.05</f>
        <v>16.128</v>
      </c>
      <c r="F523" s="124">
        <f>120000</f>
        <v>120000</v>
      </c>
      <c r="G523" s="125">
        <f t="shared" si="75"/>
        <v>1935360</v>
      </c>
      <c r="H523" s="416"/>
      <c r="I523" s="756">
        <f t="shared" si="67"/>
        <v>1935360</v>
      </c>
      <c r="K523" s="406"/>
      <c r="L523" s="406"/>
      <c r="M523" s="406"/>
      <c r="N523" s="406"/>
      <c r="O523" s="133"/>
      <c r="P523" s="406"/>
    </row>
    <row r="524" spans="1:19" hidden="1" outlineLevel="1">
      <c r="A524" s="401"/>
      <c r="B524" s="243" t="s">
        <v>313</v>
      </c>
      <c r="C524" s="244" t="s">
        <v>43</v>
      </c>
      <c r="D524" s="123">
        <v>1</v>
      </c>
      <c r="E524" s="123">
        <f>1.4*4*E516*1.2</f>
        <v>107.52</v>
      </c>
      <c r="F524" s="124">
        <f>750</f>
        <v>750</v>
      </c>
      <c r="G524" s="125">
        <f t="shared" si="75"/>
        <v>80640</v>
      </c>
      <c r="H524" s="416"/>
      <c r="I524" s="756">
        <f t="shared" si="67"/>
        <v>80640</v>
      </c>
      <c r="K524" s="406"/>
      <c r="L524" s="406"/>
      <c r="M524" s="406"/>
      <c r="N524" s="406"/>
      <c r="O524" s="133"/>
      <c r="P524" s="406"/>
    </row>
    <row r="525" spans="1:19" hidden="1" outlineLevel="1">
      <c r="A525" s="401"/>
      <c r="B525" s="84" t="s">
        <v>151</v>
      </c>
      <c r="C525" s="126" t="s">
        <v>152</v>
      </c>
      <c r="D525" s="123">
        <v>1</v>
      </c>
      <c r="E525" s="123">
        <f>(1/0.8)*(E516*AVERAGE(1.4,1)*2)</f>
        <v>48</v>
      </c>
      <c r="F525" s="124"/>
      <c r="G525" s="125"/>
      <c r="H525" s="416"/>
      <c r="I525" s="756">
        <f t="shared" si="67"/>
        <v>0</v>
      </c>
      <c r="K525" s="406"/>
      <c r="L525" s="406"/>
      <c r="M525" s="406"/>
      <c r="N525" s="406"/>
      <c r="O525" s="133"/>
      <c r="P525" s="406"/>
    </row>
    <row r="526" spans="1:19" hidden="1" outlineLevel="1">
      <c r="A526" s="401"/>
      <c r="B526" s="122" t="s">
        <v>285</v>
      </c>
      <c r="C526" s="126" t="s">
        <v>152</v>
      </c>
      <c r="D526" s="123">
        <v>1</v>
      </c>
      <c r="E526" s="123">
        <f>ROUNDUP((E525*0.25)/6,0)</f>
        <v>2</v>
      </c>
      <c r="F526" s="124">
        <v>2900</v>
      </c>
      <c r="G526" s="125">
        <f t="shared" ref="G526:G531" si="76">F526*E526*D526</f>
        <v>5800</v>
      </c>
      <c r="H526" s="416"/>
      <c r="I526" s="756">
        <f t="shared" si="67"/>
        <v>5800</v>
      </c>
      <c r="K526" s="406"/>
      <c r="L526" s="406"/>
      <c r="M526" s="406"/>
      <c r="N526" s="406"/>
      <c r="O526" s="133"/>
      <c r="P526" s="406"/>
    </row>
    <row r="527" spans="1:19" s="214" customFormat="1" hidden="1" outlineLevel="1">
      <c r="A527" s="402"/>
      <c r="B527" s="230" t="s">
        <v>154</v>
      </c>
      <c r="C527" s="33" t="s">
        <v>65</v>
      </c>
      <c r="D527" s="123">
        <v>1</v>
      </c>
      <c r="E527" s="211">
        <f>(E516*1.4*1.5)*1.2+E529</f>
        <v>68.543999999999997</v>
      </c>
      <c r="F527" s="212">
        <f>$K$199</f>
        <v>5021.5015547439907</v>
      </c>
      <c r="G527" s="233">
        <f t="shared" si="76"/>
        <v>344193.80256837211</v>
      </c>
      <c r="H527" s="416"/>
      <c r="I527" s="756">
        <f t="shared" si="67"/>
        <v>344193.80256837211</v>
      </c>
      <c r="J527" s="520"/>
      <c r="K527" s="406"/>
      <c r="L527" s="406"/>
      <c r="M527" s="450"/>
      <c r="N527" s="450"/>
      <c r="O527" s="449"/>
      <c r="P527" s="450"/>
      <c r="R527" s="407"/>
      <c r="S527" s="407"/>
    </row>
    <row r="528" spans="1:19" s="214" customFormat="1" hidden="1" outlineLevel="1">
      <c r="A528" s="402"/>
      <c r="B528" s="230" t="s">
        <v>301</v>
      </c>
      <c r="C528" s="33" t="s">
        <v>65</v>
      </c>
      <c r="D528" s="123">
        <v>1</v>
      </c>
      <c r="E528" s="211">
        <f>E527-(E516*1.4*1.5)-E529</f>
        <v>6.7200000000000024</v>
      </c>
      <c r="F528" s="212">
        <f>F527*1.05</f>
        <v>5272.5766324811902</v>
      </c>
      <c r="G528" s="233">
        <f t="shared" si="76"/>
        <v>35431.714970273613</v>
      </c>
      <c r="H528" s="416"/>
      <c r="I528" s="756">
        <f t="shared" si="67"/>
        <v>35431.714970273613</v>
      </c>
      <c r="J528" s="520"/>
      <c r="K528" s="406"/>
      <c r="L528" s="406"/>
      <c r="M528" s="450"/>
      <c r="N528" s="450"/>
      <c r="O528" s="449"/>
      <c r="P528" s="450"/>
      <c r="R528" s="407"/>
      <c r="S528" s="407"/>
    </row>
    <row r="529" spans="1:19" s="214" customFormat="1" hidden="1" outlineLevel="1">
      <c r="A529" s="402"/>
      <c r="B529" s="230" t="s">
        <v>229</v>
      </c>
      <c r="C529" s="33" t="s">
        <v>65</v>
      </c>
      <c r="D529" s="123">
        <v>0.5</v>
      </c>
      <c r="E529" s="211">
        <f>(1.4*E516*AVERAGE(1.4,1))*1.05</f>
        <v>28.224</v>
      </c>
      <c r="F529" s="212">
        <f>120000/14</f>
        <v>8571.4285714285706</v>
      </c>
      <c r="G529" s="233">
        <f t="shared" si="76"/>
        <v>120959.99999999999</v>
      </c>
      <c r="H529" s="416"/>
      <c r="I529" s="756">
        <f t="shared" si="67"/>
        <v>120959.99999999999</v>
      </c>
      <c r="J529" s="520"/>
      <c r="K529" s="406"/>
      <c r="L529" s="406"/>
      <c r="M529" s="450"/>
      <c r="N529" s="450"/>
      <c r="O529" s="449"/>
      <c r="P529" s="450"/>
      <c r="R529" s="407"/>
      <c r="S529" s="407"/>
    </row>
    <row r="530" spans="1:19" s="214" customFormat="1" hidden="1" outlineLevel="1">
      <c r="A530" s="402"/>
      <c r="B530" s="230" t="s">
        <v>300</v>
      </c>
      <c r="C530" s="17" t="s">
        <v>65</v>
      </c>
      <c r="D530" s="123">
        <v>1</v>
      </c>
      <c r="E530" s="231">
        <f>E523</f>
        <v>16.128</v>
      </c>
      <c r="F530" s="232">
        <f>104000</f>
        <v>104000</v>
      </c>
      <c r="G530" s="233">
        <f t="shared" si="76"/>
        <v>1677312</v>
      </c>
      <c r="H530" s="416"/>
      <c r="I530" s="756">
        <f t="shared" si="67"/>
        <v>1677312</v>
      </c>
      <c r="J530" s="520"/>
      <c r="K530" s="406"/>
      <c r="L530" s="406"/>
      <c r="M530" s="450"/>
      <c r="N530" s="450"/>
      <c r="O530" s="449"/>
      <c r="P530" s="450"/>
      <c r="R530" s="407"/>
      <c r="S530" s="407"/>
    </row>
    <row r="531" spans="1:19" s="214" customFormat="1" hidden="1" outlineLevel="1">
      <c r="A531" s="402"/>
      <c r="B531" s="230" t="s">
        <v>586</v>
      </c>
      <c r="C531" s="17" t="s">
        <v>41</v>
      </c>
      <c r="D531" s="123">
        <v>0</v>
      </c>
      <c r="E531" s="298">
        <v>0.01</v>
      </c>
      <c r="F531" s="232">
        <f>SUM(G516:G530)</f>
        <v>6833564.0775386468</v>
      </c>
      <c r="G531" s="233">
        <f t="shared" si="76"/>
        <v>0</v>
      </c>
      <c r="H531" s="416"/>
      <c r="I531" s="756">
        <f t="shared" si="67"/>
        <v>0</v>
      </c>
      <c r="J531" s="520"/>
      <c r="K531" s="406"/>
      <c r="L531" s="406"/>
      <c r="M531" s="450"/>
      <c r="N531" s="450"/>
      <c r="O531" s="449"/>
      <c r="P531" s="450"/>
      <c r="R531" s="407"/>
      <c r="S531" s="407"/>
    </row>
    <row r="532" spans="1:19" hidden="1" outlineLevel="1">
      <c r="A532" s="401"/>
      <c r="B532" s="83"/>
      <c r="C532" s="126"/>
      <c r="D532" s="123"/>
      <c r="E532" s="123"/>
      <c r="F532" s="124"/>
      <c r="G532" s="125"/>
      <c r="H532" s="416"/>
      <c r="I532" s="756">
        <f t="shared" si="67"/>
        <v>0</v>
      </c>
      <c r="K532" s="406"/>
      <c r="L532" s="483"/>
      <c r="M532" s="406"/>
      <c r="N532" s="406"/>
      <c r="O532" s="133"/>
      <c r="P532" s="406"/>
    </row>
    <row r="533" spans="1:19" collapsed="1">
      <c r="A533" s="399">
        <v>506</v>
      </c>
      <c r="B533" s="83" t="s">
        <v>774</v>
      </c>
      <c r="C533" s="126"/>
      <c r="D533" s="123"/>
      <c r="E533" s="123"/>
      <c r="F533" s="124"/>
      <c r="G533" s="125"/>
      <c r="H533" s="416"/>
      <c r="I533" s="405"/>
      <c r="K533" s="406"/>
      <c r="L533" s="406"/>
      <c r="M533" s="406"/>
      <c r="N533" s="406"/>
      <c r="O533" s="133"/>
      <c r="P533" s="406"/>
      <c r="Q533" s="474"/>
    </row>
    <row r="534" spans="1:19" ht="26.4">
      <c r="A534" s="761" t="s">
        <v>771</v>
      </c>
      <c r="B534" s="759" t="s">
        <v>775</v>
      </c>
      <c r="C534" s="126" t="s">
        <v>111</v>
      </c>
      <c r="D534" s="123">
        <v>1</v>
      </c>
      <c r="E534" s="123">
        <f>238.65</f>
        <v>238.65</v>
      </c>
      <c r="F534" s="124">
        <f>MROUND(O534,10)</f>
        <v>838820</v>
      </c>
      <c r="G534" s="125">
        <f>F534*E534</f>
        <v>200184393</v>
      </c>
      <c r="H534" s="416"/>
      <c r="I534" s="756">
        <f>G534</f>
        <v>200184393</v>
      </c>
      <c r="K534" s="409">
        <f>SUM(G535:G551)/$E535</f>
        <v>645184.73897063138</v>
      </c>
      <c r="L534" s="409">
        <f>K534*$L$344</f>
        <v>8064.809237132893</v>
      </c>
      <c r="M534" s="409">
        <f>K534*$M$344</f>
        <v>7742.2168676475767</v>
      </c>
      <c r="N534" s="409">
        <f>SUM(K534:M534)</f>
        <v>660991.76507541188</v>
      </c>
      <c r="O534" s="410">
        <f>N534/$R$346</f>
        <v>838822.03689773078</v>
      </c>
      <c r="P534" s="409">
        <f>O534-N534</f>
        <v>177830.2718223189</v>
      </c>
      <c r="Q534" s="474">
        <f>1-K534/F534</f>
        <v>0.23084244656704489</v>
      </c>
    </row>
    <row r="535" spans="1:19" hidden="1" outlineLevel="1">
      <c r="A535" s="401"/>
      <c r="B535" s="294" t="s">
        <v>577</v>
      </c>
      <c r="C535" s="295" t="s">
        <v>111</v>
      </c>
      <c r="D535" s="123"/>
      <c r="E535" s="123">
        <f>E534</f>
        <v>238.65</v>
      </c>
      <c r="F535" s="124"/>
      <c r="G535" s="125"/>
      <c r="H535" s="416"/>
      <c r="I535" s="756">
        <f t="shared" si="67"/>
        <v>0</v>
      </c>
      <c r="J535" s="528"/>
      <c r="K535" s="474"/>
      <c r="L535" s="474"/>
      <c r="M535" s="474"/>
      <c r="N535" s="474"/>
      <c r="O535" s="474"/>
      <c r="P535" s="474"/>
      <c r="Q535" s="474"/>
    </row>
    <row r="536" spans="1:19" hidden="1" outlineLevel="1">
      <c r="A536" s="401"/>
      <c r="B536" s="84" t="s">
        <v>141</v>
      </c>
      <c r="C536" s="126" t="s">
        <v>65</v>
      </c>
      <c r="D536" s="123">
        <v>1</v>
      </c>
      <c r="E536" s="123">
        <f>(2.9*E535*0.1)*1.1</f>
        <v>76.129350000000002</v>
      </c>
      <c r="F536" s="124">
        <v>100000</v>
      </c>
      <c r="G536" s="125">
        <f>F536*E536*D536</f>
        <v>7612935</v>
      </c>
      <c r="H536" s="416"/>
      <c r="I536" s="756">
        <f t="shared" si="67"/>
        <v>7612935</v>
      </c>
      <c r="K536" s="406"/>
      <c r="L536" s="406"/>
      <c r="M536" s="406"/>
      <c r="N536" s="406"/>
      <c r="O536" s="133"/>
      <c r="P536" s="406"/>
    </row>
    <row r="537" spans="1:19" hidden="1" outlineLevel="1">
      <c r="A537" s="401"/>
      <c r="B537" s="84" t="s">
        <v>144</v>
      </c>
      <c r="C537" s="126" t="s">
        <v>179</v>
      </c>
      <c r="D537" s="123">
        <v>1</v>
      </c>
      <c r="E537" s="123">
        <f>(AVERAGE(1.5,1.9)*E535*5)*1.02</f>
        <v>2069.0954999999999</v>
      </c>
      <c r="F537" s="124">
        <f>13988</f>
        <v>13988</v>
      </c>
      <c r="G537" s="125">
        <f t="shared" ref="G537:G543" si="77">F537*E537*D537</f>
        <v>28942507.853999998</v>
      </c>
      <c r="H537" s="416"/>
      <c r="I537" s="756">
        <f t="shared" si="67"/>
        <v>28942507.853999998</v>
      </c>
      <c r="K537" s="406"/>
      <c r="L537" s="406"/>
      <c r="M537" s="406"/>
      <c r="N537" s="406"/>
      <c r="O537" s="133"/>
      <c r="P537" s="406"/>
    </row>
    <row r="538" spans="1:19" hidden="1" outlineLevel="1">
      <c r="A538" s="401"/>
      <c r="B538" s="297" t="s">
        <v>584</v>
      </c>
      <c r="C538" s="295" t="s">
        <v>94</v>
      </c>
      <c r="D538" s="123">
        <v>1</v>
      </c>
      <c r="E538" s="123">
        <f>E537*0.15</f>
        <v>310.36432499999995</v>
      </c>
      <c r="F538" s="124">
        <f>1400</f>
        <v>1400</v>
      </c>
      <c r="G538" s="125">
        <f t="shared" si="77"/>
        <v>434510.05499999993</v>
      </c>
      <c r="H538" s="416"/>
      <c r="I538" s="756">
        <f t="shared" si="67"/>
        <v>434510.05499999993</v>
      </c>
      <c r="K538" s="406"/>
      <c r="L538" s="406"/>
      <c r="M538" s="406"/>
      <c r="N538" s="406"/>
      <c r="O538" s="133"/>
      <c r="P538" s="406"/>
    </row>
    <row r="539" spans="1:19" hidden="1" outlineLevel="1">
      <c r="A539" s="401"/>
      <c r="B539" s="297" t="s">
        <v>585</v>
      </c>
      <c r="C539" s="295" t="s">
        <v>94</v>
      </c>
      <c r="D539" s="123">
        <v>1</v>
      </c>
      <c r="E539" s="123">
        <f>ROUNDUP(((E535*1.5)*2*0.45)/25,0)</f>
        <v>13</v>
      </c>
      <c r="F539" s="124">
        <f>65000</f>
        <v>65000</v>
      </c>
      <c r="G539" s="125">
        <f t="shared" si="77"/>
        <v>845000</v>
      </c>
      <c r="H539" s="416"/>
      <c r="I539" s="756">
        <f t="shared" si="67"/>
        <v>845000</v>
      </c>
      <c r="K539" s="406"/>
      <c r="L539" s="406"/>
      <c r="M539" s="406"/>
      <c r="N539" s="406"/>
      <c r="O539" s="133"/>
      <c r="P539" s="406"/>
    </row>
    <row r="540" spans="1:19" hidden="1" outlineLevel="1">
      <c r="A540" s="401"/>
      <c r="B540" s="84" t="s">
        <v>147</v>
      </c>
      <c r="C540" s="126" t="s">
        <v>94</v>
      </c>
      <c r="D540" s="123">
        <v>1</v>
      </c>
      <c r="E540" s="123">
        <f>E542*80</f>
        <v>27263.376000000004</v>
      </c>
      <c r="F540" s="124">
        <v>700</v>
      </c>
      <c r="G540" s="125">
        <f t="shared" si="77"/>
        <v>19084363.200000003</v>
      </c>
      <c r="H540" s="416"/>
      <c r="I540" s="756">
        <f t="shared" si="67"/>
        <v>19084363.200000003</v>
      </c>
      <c r="K540" s="406"/>
      <c r="L540" s="406"/>
      <c r="M540" s="406"/>
      <c r="N540" s="406"/>
      <c r="O540" s="133"/>
      <c r="P540" s="406"/>
    </row>
    <row r="541" spans="1:19" hidden="1" outlineLevel="1">
      <c r="A541" s="401"/>
      <c r="B541" s="122" t="s">
        <v>95</v>
      </c>
      <c r="C541" s="126" t="s">
        <v>94</v>
      </c>
      <c r="D541" s="123">
        <v>1</v>
      </c>
      <c r="E541" s="123">
        <f>E540*1.5%</f>
        <v>408.95064000000002</v>
      </c>
      <c r="F541" s="124">
        <f>1500</f>
        <v>1500</v>
      </c>
      <c r="G541" s="125">
        <f t="shared" si="77"/>
        <v>613425.96000000008</v>
      </c>
      <c r="H541" s="416"/>
      <c r="I541" s="756">
        <f t="shared" si="67"/>
        <v>613425.96000000008</v>
      </c>
      <c r="K541" s="406"/>
      <c r="L541" s="406"/>
      <c r="M541" s="406"/>
      <c r="N541" s="406"/>
      <c r="O541" s="133"/>
      <c r="P541" s="406"/>
    </row>
    <row r="542" spans="1:19" hidden="1" outlineLevel="1">
      <c r="A542" s="401"/>
      <c r="B542" s="84" t="s">
        <v>149</v>
      </c>
      <c r="C542" s="126" t="s">
        <v>65</v>
      </c>
      <c r="D542" s="123">
        <v>1</v>
      </c>
      <c r="E542" s="123">
        <f>(AVERAGE(1.9,1.5)*0.2*4*E535)*1.05</f>
        <v>340.79220000000004</v>
      </c>
      <c r="F542" s="124">
        <f>120000</f>
        <v>120000</v>
      </c>
      <c r="G542" s="125">
        <f t="shared" si="77"/>
        <v>40895064.000000007</v>
      </c>
      <c r="H542" s="416"/>
      <c r="I542" s="756">
        <f t="shared" ref="I542:I551" si="78">G542</f>
        <v>40895064.000000007</v>
      </c>
      <c r="K542" s="406"/>
      <c r="L542" s="406"/>
      <c r="M542" s="406"/>
      <c r="N542" s="406"/>
      <c r="O542" s="133"/>
      <c r="P542" s="406"/>
    </row>
    <row r="543" spans="1:19" hidden="1" outlineLevel="1">
      <c r="A543" s="401"/>
      <c r="B543" s="243" t="s">
        <v>313</v>
      </c>
      <c r="C543" s="244" t="s">
        <v>43</v>
      </c>
      <c r="D543" s="123">
        <v>1</v>
      </c>
      <c r="E543" s="123">
        <f>((2.9+1.9)*2)*E534*1.2</f>
        <v>2749.248</v>
      </c>
      <c r="F543" s="124">
        <f>750</f>
        <v>750</v>
      </c>
      <c r="G543" s="125">
        <f t="shared" si="77"/>
        <v>2061936</v>
      </c>
      <c r="H543" s="416"/>
      <c r="I543" s="756">
        <f t="shared" si="78"/>
        <v>2061936</v>
      </c>
      <c r="K543" s="406"/>
      <c r="L543" s="406"/>
      <c r="M543" s="406"/>
      <c r="N543" s="406"/>
      <c r="O543" s="133"/>
      <c r="P543" s="406"/>
    </row>
    <row r="544" spans="1:19" hidden="1" outlineLevel="1">
      <c r="A544" s="401"/>
      <c r="B544" s="84" t="s">
        <v>151</v>
      </c>
      <c r="C544" s="126" t="s">
        <v>152</v>
      </c>
      <c r="D544" s="123">
        <v>1</v>
      </c>
      <c r="E544" s="123">
        <f>(1/0.8)*(E534*AVERAGE(1.5,1.9)*2)</f>
        <v>1014.2624999999999</v>
      </c>
      <c r="F544" s="124"/>
      <c r="G544" s="125"/>
      <c r="H544" s="416"/>
      <c r="I544" s="756">
        <f t="shared" si="78"/>
        <v>0</v>
      </c>
      <c r="K544" s="406"/>
      <c r="L544" s="406"/>
      <c r="M544" s="406"/>
      <c r="N544" s="406"/>
      <c r="O544" s="133"/>
      <c r="P544" s="406"/>
    </row>
    <row r="545" spans="1:19" hidden="1" outlineLevel="1">
      <c r="A545" s="401"/>
      <c r="B545" s="122" t="s">
        <v>285</v>
      </c>
      <c r="C545" s="126" t="s">
        <v>152</v>
      </c>
      <c r="D545" s="123">
        <v>1</v>
      </c>
      <c r="E545" s="123">
        <f>ROUNDUP((E544*0.25)/6,0)</f>
        <v>43</v>
      </c>
      <c r="F545" s="124">
        <v>2900</v>
      </c>
      <c r="G545" s="125">
        <f t="shared" ref="G545:G550" si="79">F545*E545*D545</f>
        <v>124700</v>
      </c>
      <c r="H545" s="416"/>
      <c r="I545" s="756">
        <f t="shared" si="78"/>
        <v>124700</v>
      </c>
      <c r="K545" s="406"/>
      <c r="L545" s="406"/>
      <c r="M545" s="406"/>
      <c r="N545" s="406"/>
      <c r="O545" s="133"/>
      <c r="P545" s="406"/>
    </row>
    <row r="546" spans="1:19" s="214" customFormat="1" hidden="1" outlineLevel="1">
      <c r="A546" s="402"/>
      <c r="B546" s="230" t="s">
        <v>154</v>
      </c>
      <c r="C546" s="33" t="s">
        <v>65</v>
      </c>
      <c r="D546" s="123">
        <v>1</v>
      </c>
      <c r="E546" s="211">
        <f>(E534*2.9*2)*1.2+E548</f>
        <v>2533.0311000000002</v>
      </c>
      <c r="F546" s="212">
        <f>$K$199</f>
        <v>5021.5015547439907</v>
      </c>
      <c r="G546" s="233">
        <f t="shared" si="79"/>
        <v>12719619.606864883</v>
      </c>
      <c r="H546" s="416"/>
      <c r="I546" s="756">
        <f t="shared" si="78"/>
        <v>12719619.606864883</v>
      </c>
      <c r="J546" s="520"/>
      <c r="K546" s="406"/>
      <c r="L546" s="406"/>
      <c r="M546" s="450"/>
      <c r="N546" s="450"/>
      <c r="O546" s="449"/>
      <c r="P546" s="450"/>
      <c r="R546" s="407"/>
      <c r="S546" s="407"/>
    </row>
    <row r="547" spans="1:19" s="214" customFormat="1" hidden="1" outlineLevel="1">
      <c r="A547" s="402"/>
      <c r="B547" s="230" t="s">
        <v>301</v>
      </c>
      <c r="C547" s="33" t="s">
        <v>65</v>
      </c>
      <c r="D547" s="123">
        <v>1</v>
      </c>
      <c r="E547" s="211">
        <f>E546-(E534*2.9*2)-E548</f>
        <v>276.83399999999995</v>
      </c>
      <c r="F547" s="212">
        <f>F546*1.05</f>
        <v>5272.5766324811902</v>
      </c>
      <c r="G547" s="233">
        <f t="shared" si="79"/>
        <v>1459628.4794762975</v>
      </c>
      <c r="H547" s="416"/>
      <c r="I547" s="756">
        <f t="shared" si="78"/>
        <v>1459628.4794762975</v>
      </c>
      <c r="J547" s="520"/>
      <c r="K547" s="406"/>
      <c r="L547" s="406"/>
      <c r="M547" s="450"/>
      <c r="N547" s="450"/>
      <c r="O547" s="449"/>
      <c r="P547" s="450"/>
      <c r="R547" s="407"/>
      <c r="S547" s="407"/>
    </row>
    <row r="548" spans="1:19" s="214" customFormat="1" hidden="1" outlineLevel="1">
      <c r="A548" s="402"/>
      <c r="B548" s="230" t="s">
        <v>229</v>
      </c>
      <c r="C548" s="33" t="s">
        <v>65</v>
      </c>
      <c r="D548" s="123">
        <v>0.5</v>
      </c>
      <c r="E548" s="211">
        <f>(2.9*E534*AVERAGE(1.4,1))*1.05</f>
        <v>872.02710000000013</v>
      </c>
      <c r="F548" s="212">
        <f>120000/14</f>
        <v>8571.4285714285706</v>
      </c>
      <c r="G548" s="233">
        <f t="shared" si="79"/>
        <v>3737259</v>
      </c>
      <c r="H548" s="416"/>
      <c r="I548" s="756">
        <f t="shared" si="78"/>
        <v>3737259</v>
      </c>
      <c r="J548" s="520"/>
      <c r="K548" s="406"/>
      <c r="L548" s="406"/>
      <c r="M548" s="450"/>
      <c r="N548" s="450"/>
      <c r="O548" s="449"/>
      <c r="P548" s="450"/>
      <c r="R548" s="407"/>
      <c r="S548" s="407"/>
    </row>
    <row r="549" spans="1:19" s="214" customFormat="1" hidden="1" outlineLevel="1">
      <c r="A549" s="402"/>
      <c r="B549" s="230" t="s">
        <v>300</v>
      </c>
      <c r="C549" s="17" t="s">
        <v>65</v>
      </c>
      <c r="D549" s="123">
        <v>1</v>
      </c>
      <c r="E549" s="231">
        <f>E542</f>
        <v>340.79220000000004</v>
      </c>
      <c r="F549" s="232">
        <f>104000</f>
        <v>104000</v>
      </c>
      <c r="G549" s="233">
        <f t="shared" si="79"/>
        <v>35442388.800000004</v>
      </c>
      <c r="H549" s="416"/>
      <c r="I549" s="756">
        <f t="shared" si="78"/>
        <v>35442388.800000004</v>
      </c>
      <c r="J549" s="520"/>
      <c r="K549" s="406"/>
      <c r="L549" s="406"/>
      <c r="M549" s="450"/>
      <c r="N549" s="450"/>
      <c r="O549" s="449"/>
      <c r="P549" s="450"/>
      <c r="R549" s="407"/>
      <c r="S549" s="407"/>
    </row>
    <row r="550" spans="1:19" s="214" customFormat="1" hidden="1" outlineLevel="1">
      <c r="A550" s="402"/>
      <c r="B550" s="230" t="s">
        <v>586</v>
      </c>
      <c r="C550" s="17" t="s">
        <v>41</v>
      </c>
      <c r="D550" s="123">
        <v>0</v>
      </c>
      <c r="E550" s="298">
        <v>0.02</v>
      </c>
      <c r="F550" s="232">
        <f>SUM(G535:G549)</f>
        <v>153973337.95534119</v>
      </c>
      <c r="G550" s="233">
        <f t="shared" si="79"/>
        <v>0</v>
      </c>
      <c r="H550" s="416"/>
      <c r="I550" s="756">
        <f t="shared" si="78"/>
        <v>0</v>
      </c>
      <c r="J550" s="520"/>
      <c r="K550" s="406"/>
      <c r="L550" s="406"/>
      <c r="M550" s="450"/>
      <c r="N550" s="450"/>
      <c r="O550" s="449"/>
      <c r="P550" s="450"/>
      <c r="R550" s="407"/>
      <c r="S550" s="407"/>
    </row>
    <row r="551" spans="1:19" hidden="1" outlineLevel="1">
      <c r="A551" s="401"/>
      <c r="B551" s="83"/>
      <c r="C551" s="126"/>
      <c r="D551" s="123"/>
      <c r="E551" s="123"/>
      <c r="F551" s="124"/>
      <c r="G551" s="125"/>
      <c r="H551" s="416"/>
      <c r="I551" s="756">
        <f t="shared" si="78"/>
        <v>0</v>
      </c>
      <c r="K551" s="406"/>
      <c r="L551" s="483"/>
      <c r="M551" s="406"/>
      <c r="N551" s="406"/>
      <c r="O551" s="133"/>
      <c r="P551" s="406"/>
    </row>
    <row r="552" spans="1:19" collapsed="1">
      <c r="A552" s="399">
        <v>507</v>
      </c>
      <c r="B552" s="83" t="s">
        <v>299</v>
      </c>
      <c r="C552" s="126"/>
      <c r="D552" s="123"/>
      <c r="E552" s="123"/>
      <c r="F552" s="124"/>
      <c r="G552" s="125"/>
      <c r="H552" s="416"/>
      <c r="I552" s="405"/>
      <c r="K552" s="406"/>
      <c r="L552" s="406"/>
      <c r="M552" s="406"/>
      <c r="N552" s="406"/>
      <c r="O552" s="133"/>
      <c r="P552" s="406"/>
    </row>
    <row r="553" spans="1:19">
      <c r="A553" s="761" t="s">
        <v>772</v>
      </c>
      <c r="B553" s="294" t="s">
        <v>582</v>
      </c>
      <c r="C553" s="126" t="s">
        <v>111</v>
      </c>
      <c r="D553" s="123">
        <v>1</v>
      </c>
      <c r="E553" s="123">
        <v>12</v>
      </c>
      <c r="F553" s="124">
        <f>F477</f>
        <v>1914180</v>
      </c>
      <c r="G553" s="125">
        <f>F553*E553</f>
        <v>22970160</v>
      </c>
      <c r="H553" s="416"/>
      <c r="I553" s="756">
        <f>G553</f>
        <v>22970160</v>
      </c>
      <c r="K553" s="449" t="str">
        <f>A477</f>
        <v>504.2</v>
      </c>
      <c r="L553" s="406"/>
      <c r="M553" s="406"/>
      <c r="N553" s="406"/>
      <c r="O553" s="133"/>
      <c r="P553" s="406"/>
    </row>
    <row r="554" spans="1:19" s="66" customFormat="1" ht="10.8">
      <c r="A554" s="540"/>
      <c r="B554" s="541"/>
      <c r="C554" s="542"/>
      <c r="D554" s="543"/>
      <c r="E554" s="544"/>
      <c r="F554" s="545"/>
      <c r="G554" s="65"/>
      <c r="H554" s="438"/>
      <c r="I554" s="438"/>
      <c r="J554" s="534"/>
      <c r="K554" s="546"/>
      <c r="L554" s="546"/>
      <c r="M554" s="546"/>
      <c r="N554" s="546"/>
      <c r="O554" s="547"/>
      <c r="P554" s="546"/>
    </row>
    <row r="555" spans="1:19" ht="13.8" thickBot="1">
      <c r="A555" s="68"/>
      <c r="B555" s="69"/>
      <c r="C555" s="70"/>
      <c r="D555" s="70"/>
      <c r="E555" s="71"/>
      <c r="F555" s="72"/>
      <c r="G555" s="292">
        <f>G346+G362+G363+G378+G393+G394+G410+G425+G440+G442+G443+G444+G459+G474+G476+G477+G496+G497+G515+G534+G553</f>
        <v>1590529039</v>
      </c>
      <c r="H555" s="416"/>
      <c r="I555" s="416"/>
      <c r="J555" s="406">
        <f>J440+J425+J346</f>
        <v>1590529039</v>
      </c>
      <c r="K555" s="406"/>
      <c r="L555" s="406"/>
      <c r="M555" s="406"/>
      <c r="N555" s="406"/>
      <c r="O555" s="406"/>
      <c r="P555" s="406"/>
    </row>
    <row r="556" spans="1:19" ht="13.8">
      <c r="A556" s="556" t="s">
        <v>703</v>
      </c>
      <c r="B556" s="557"/>
      <c r="C556" s="557"/>
      <c r="D556" s="557"/>
      <c r="E556" s="557"/>
      <c r="F556" s="558"/>
      <c r="G556" s="432">
        <f>SUM(G555,G316,G192)</f>
        <v>3499090990.8764429</v>
      </c>
      <c r="H556" s="416"/>
      <c r="I556" s="416"/>
      <c r="K556" s="487"/>
      <c r="L556" s="488" t="s">
        <v>306</v>
      </c>
      <c r="M556" s="488" t="s">
        <v>307</v>
      </c>
      <c r="N556" s="488" t="s">
        <v>305</v>
      </c>
      <c r="O556" s="489"/>
      <c r="P556" s="490"/>
    </row>
    <row r="557" spans="1:19" ht="13.8">
      <c r="A557" s="559" t="s">
        <v>112</v>
      </c>
      <c r="B557" s="560"/>
      <c r="C557" s="560"/>
      <c r="D557" s="560"/>
      <c r="E557" s="560"/>
      <c r="F557" s="560"/>
      <c r="G557" s="432">
        <f>ROUNDUP(0.18*G556,0)</f>
        <v>629836379</v>
      </c>
      <c r="H557" s="416"/>
      <c r="I557" s="416"/>
      <c r="K557" s="491" t="s">
        <v>309</v>
      </c>
      <c r="L557" s="73">
        <f>[1]recap!$G$463</f>
        <v>2704441229.4000001</v>
      </c>
      <c r="M557" s="492">
        <f>+G556</f>
        <v>3499090990.8764429</v>
      </c>
      <c r="N557" s="493">
        <f>L557-M557</f>
        <v>-794649761.47644281</v>
      </c>
      <c r="O557" s="425">
        <f>N557/L557</f>
        <v>-0.29383140326282542</v>
      </c>
      <c r="P557" s="494"/>
    </row>
    <row r="558" spans="1:19" ht="13.8">
      <c r="A558" s="561" t="s">
        <v>113</v>
      </c>
      <c r="B558" s="562"/>
      <c r="C558" s="562"/>
      <c r="D558" s="562"/>
      <c r="E558" s="562"/>
      <c r="F558" s="562"/>
      <c r="G558" s="433">
        <f>ROUNDDOWN(G556*1%,0)</f>
        <v>34990909</v>
      </c>
      <c r="H558" s="416"/>
      <c r="I558" s="416"/>
      <c r="K558" s="491"/>
      <c r="L558" s="495"/>
      <c r="M558" s="495"/>
      <c r="N558" s="495"/>
      <c r="O558" s="426"/>
      <c r="P558" s="494"/>
    </row>
    <row r="559" spans="1:19" ht="14.4" thickBot="1">
      <c r="A559" s="563" t="s">
        <v>704</v>
      </c>
      <c r="B559" s="564"/>
      <c r="C559" s="564"/>
      <c r="D559" s="564"/>
      <c r="E559" s="564"/>
      <c r="F559" s="564"/>
      <c r="G559" s="434">
        <f>G556+G557+G558</f>
        <v>4163918278.8764429</v>
      </c>
      <c r="H559" s="416"/>
      <c r="I559" s="416"/>
      <c r="K559" s="496" t="s">
        <v>308</v>
      </c>
      <c r="L559" s="492">
        <f>[1]recap!$G$484</f>
        <v>2995552891.4065523</v>
      </c>
      <c r="M559" s="492">
        <f>+G622</f>
        <v>3888836402.8829951</v>
      </c>
      <c r="N559" s="493">
        <f>L559-M559</f>
        <v>-893283511.47644281</v>
      </c>
      <c r="O559" s="425">
        <f>N559/L559</f>
        <v>-0.29820321785638859</v>
      </c>
      <c r="P559" s="497"/>
    </row>
    <row r="560" spans="1:19" ht="13.8" thickBot="1">
      <c r="A560" s="565"/>
      <c r="B560" s="566"/>
      <c r="C560" s="566"/>
      <c r="D560" s="566"/>
      <c r="E560" s="566"/>
      <c r="F560" s="566"/>
      <c r="G560" s="567"/>
      <c r="H560" s="416"/>
      <c r="I560" s="416"/>
      <c r="K560" s="498"/>
      <c r="L560" s="499"/>
      <c r="M560" s="499"/>
      <c r="N560" s="499"/>
      <c r="O560" s="500"/>
      <c r="P560" s="501"/>
    </row>
    <row r="561" spans="1:20" ht="15.6" thickBot="1">
      <c r="A561" s="568" t="s">
        <v>597</v>
      </c>
      <c r="B561" s="569"/>
      <c r="C561" s="569"/>
      <c r="D561" s="569"/>
      <c r="E561" s="569"/>
      <c r="F561" s="569"/>
      <c r="G561" s="570"/>
      <c r="H561" s="416"/>
      <c r="I561" s="416"/>
      <c r="K561" s="407"/>
      <c r="L561" s="407"/>
      <c r="M561" s="407"/>
      <c r="N561" s="407"/>
      <c r="O561" s="407"/>
      <c r="P561" s="407"/>
    </row>
    <row r="562" spans="1:20" s="75" customFormat="1">
      <c r="A562" s="324" t="s">
        <v>114</v>
      </c>
      <c r="B562" s="571" t="s">
        <v>115</v>
      </c>
      <c r="C562" s="571"/>
      <c r="D562" s="571"/>
      <c r="E562" s="571"/>
      <c r="F562" s="572"/>
      <c r="G562" s="325">
        <f>SUM(G563:G572)</f>
        <v>50874162.006552085</v>
      </c>
      <c r="H562" s="416"/>
      <c r="I562" s="416"/>
      <c r="J562" s="129"/>
      <c r="Q562" s="77"/>
    </row>
    <row r="563" spans="1:20">
      <c r="A563" s="76" t="s">
        <v>546</v>
      </c>
      <c r="B563" s="299" t="s">
        <v>116</v>
      </c>
      <c r="C563" s="273" t="s">
        <v>43</v>
      </c>
      <c r="D563" s="274">
        <v>1</v>
      </c>
      <c r="E563" s="123">
        <v>200</v>
      </c>
      <c r="F563" s="124">
        <f>25000</f>
        <v>25000</v>
      </c>
      <c r="G563" s="275">
        <f>F563*E563*D563*$P$5</f>
        <v>6500000</v>
      </c>
      <c r="H563" s="416"/>
      <c r="I563" s="416"/>
      <c r="K563" s="407"/>
      <c r="L563" s="407"/>
      <c r="M563" s="407"/>
      <c r="N563" s="407"/>
      <c r="O563" s="407"/>
      <c r="P563" s="407"/>
    </row>
    <row r="564" spans="1:20">
      <c r="A564" s="76" t="s">
        <v>547</v>
      </c>
      <c r="B564" s="299" t="s">
        <v>117</v>
      </c>
      <c r="C564" s="273" t="s">
        <v>43</v>
      </c>
      <c r="D564" s="274">
        <v>1</v>
      </c>
      <c r="E564" s="123">
        <v>300</v>
      </c>
      <c r="F564" s="124">
        <f>25000</f>
        <v>25000</v>
      </c>
      <c r="G564" s="275">
        <f>F564*E564*D564*$P$5</f>
        <v>9750000</v>
      </c>
      <c r="H564" s="416"/>
      <c r="I564" s="416"/>
      <c r="K564" s="406"/>
      <c r="L564" s="406"/>
      <c r="M564" s="406"/>
      <c r="N564" s="406"/>
      <c r="O564" s="502"/>
      <c r="P564" s="406"/>
    </row>
    <row r="565" spans="1:20">
      <c r="A565" s="76" t="s">
        <v>548</v>
      </c>
      <c r="B565" s="230" t="s">
        <v>118</v>
      </c>
      <c r="C565" s="261" t="s">
        <v>111</v>
      </c>
      <c r="D565" s="276">
        <v>1</v>
      </c>
      <c r="E565" s="123">
        <v>90</v>
      </c>
      <c r="F565" s="124">
        <f>25000*3.5</f>
        <v>87500</v>
      </c>
      <c r="G565" s="424" t="str">
        <f>G334</f>
        <v>Pour mémoire</v>
      </c>
      <c r="H565" s="416"/>
      <c r="I565" s="416"/>
      <c r="K565" s="406"/>
      <c r="L565" s="406"/>
      <c r="M565" s="406"/>
      <c r="N565" s="406"/>
      <c r="O565" s="502"/>
      <c r="P565" s="406"/>
    </row>
    <row r="566" spans="1:20">
      <c r="A566" s="76" t="s">
        <v>549</v>
      </c>
      <c r="B566" s="230" t="s">
        <v>119</v>
      </c>
      <c r="C566" s="261" t="s">
        <v>111</v>
      </c>
      <c r="D566" s="276">
        <v>1</v>
      </c>
      <c r="E566" s="123">
        <f>60</f>
        <v>60</v>
      </c>
      <c r="F566" s="124">
        <f>25000*3.5</f>
        <v>87500</v>
      </c>
      <c r="G566" s="275">
        <f>F566*E566*D566*$P$5</f>
        <v>6825000</v>
      </c>
      <c r="H566" s="416"/>
      <c r="I566" s="416"/>
      <c r="K566" s="406"/>
      <c r="L566" s="406"/>
      <c r="M566" s="406"/>
      <c r="N566" s="406"/>
      <c r="O566" s="502"/>
      <c r="P566" s="406"/>
    </row>
    <row r="567" spans="1:20">
      <c r="A567" s="76" t="s">
        <v>550</v>
      </c>
      <c r="B567" s="230" t="s">
        <v>120</v>
      </c>
      <c r="C567" s="261" t="s">
        <v>31</v>
      </c>
      <c r="D567" s="276">
        <v>1</v>
      </c>
      <c r="E567" s="123">
        <v>3</v>
      </c>
      <c r="F567" s="124">
        <v>1500000</v>
      </c>
      <c r="G567" s="275">
        <f>F567*E567*D567*$P$5</f>
        <v>5850000</v>
      </c>
      <c r="H567" s="416"/>
      <c r="I567" s="416"/>
      <c r="K567" s="406"/>
      <c r="L567" s="406"/>
      <c r="M567" s="406"/>
      <c r="N567" s="406"/>
      <c r="O567" s="502"/>
      <c r="P567" s="406"/>
    </row>
    <row r="568" spans="1:20">
      <c r="A568" s="76" t="s">
        <v>551</v>
      </c>
      <c r="B568" s="230" t="s">
        <v>121</v>
      </c>
      <c r="C568" s="261" t="s">
        <v>111</v>
      </c>
      <c r="D568" s="276">
        <v>1</v>
      </c>
      <c r="E568" s="123">
        <v>60</v>
      </c>
      <c r="F568" s="124">
        <f>M568</f>
        <v>50070.359013888898</v>
      </c>
      <c r="G568" s="275">
        <f>F568*E568*D568*$P$5</f>
        <v>3905488.0030833343</v>
      </c>
      <c r="H568" s="416"/>
      <c r="I568" s="416"/>
      <c r="J568" s="407"/>
      <c r="K568" s="406">
        <f>(((17500/1.8)*0.85+12000*0.45+5500*8+800*90)*1.19)*1.1*1.475</f>
        <v>250351.79506944449</v>
      </c>
      <c r="L568" s="503">
        <f>1*1*0.2</f>
        <v>0.2</v>
      </c>
      <c r="M568" s="406">
        <f>K568*L568</f>
        <v>50070.359013888898</v>
      </c>
      <c r="N568" s="406"/>
      <c r="O568" s="502"/>
      <c r="P568" s="406"/>
    </row>
    <row r="569" spans="1:20">
      <c r="A569" s="76" t="s">
        <v>552</v>
      </c>
      <c r="B569" s="230" t="s">
        <v>122</v>
      </c>
      <c r="C569" s="261" t="s">
        <v>111</v>
      </c>
      <c r="D569" s="277">
        <v>0.75</v>
      </c>
      <c r="E569" s="123">
        <v>90</v>
      </c>
      <c r="F569" s="124">
        <f>$M$568</f>
        <v>50070.359013888898</v>
      </c>
      <c r="G569" s="275">
        <f>F569*E569*D569*$P$5</f>
        <v>4393674.003468751</v>
      </c>
      <c r="H569" s="416"/>
      <c r="I569" s="416"/>
      <c r="K569" s="504">
        <f>G568+G569</f>
        <v>8299162.0065520853</v>
      </c>
      <c r="L569" s="406"/>
      <c r="M569" s="406"/>
      <c r="N569" s="406"/>
      <c r="O569" s="502"/>
      <c r="P569" s="406"/>
    </row>
    <row r="570" spans="1:20" s="34" customFormat="1">
      <c r="A570" s="76" t="s">
        <v>553</v>
      </c>
      <c r="B570" s="230" t="s">
        <v>123</v>
      </c>
      <c r="C570" s="17" t="s">
        <v>43</v>
      </c>
      <c r="D570" s="276">
        <v>1</v>
      </c>
      <c r="E570" s="123">
        <v>350</v>
      </c>
      <c r="F570" s="124">
        <f>10000</f>
        <v>10000</v>
      </c>
      <c r="G570" s="275">
        <f>F570*E570*D570*$P$5</f>
        <v>4550000</v>
      </c>
      <c r="H570" s="416"/>
      <c r="I570" s="416"/>
      <c r="J570" s="221"/>
      <c r="K570" s="220"/>
      <c r="L570" s="220"/>
      <c r="M570" s="220"/>
      <c r="N570" s="220"/>
      <c r="O570" s="222"/>
      <c r="P570" s="220"/>
      <c r="Q570" s="153"/>
      <c r="R570" s="153"/>
      <c r="S570" s="153"/>
      <c r="T570" s="153"/>
    </row>
    <row r="571" spans="1:20" s="34" customFormat="1">
      <c r="A571" s="382" t="s">
        <v>554</v>
      </c>
      <c r="B571" s="230" t="s">
        <v>124</v>
      </c>
      <c r="C571" s="17" t="s">
        <v>43</v>
      </c>
      <c r="D571" s="276">
        <v>1</v>
      </c>
      <c r="E571" s="123">
        <f>6*5</f>
        <v>30</v>
      </c>
      <c r="F571" s="124">
        <v>175000</v>
      </c>
      <c r="G571" s="383">
        <f>F571*E571*D571*$P$5</f>
        <v>6825000</v>
      </c>
      <c r="H571" s="416"/>
      <c r="I571" s="416"/>
      <c r="J571" s="221"/>
      <c r="K571" s="220"/>
      <c r="L571" s="220"/>
      <c r="M571" s="220"/>
      <c r="N571" s="220"/>
      <c r="O571" s="222"/>
      <c r="P571" s="220"/>
      <c r="Q571" s="153"/>
      <c r="R571" s="153"/>
      <c r="S571" s="153"/>
      <c r="T571" s="153"/>
    </row>
    <row r="572" spans="1:20" ht="13.8" thickBot="1">
      <c r="A572" s="384" t="s">
        <v>555</v>
      </c>
      <c r="B572" s="385" t="s">
        <v>125</v>
      </c>
      <c r="C572" s="386" t="s">
        <v>43</v>
      </c>
      <c r="D572" s="387">
        <v>1</v>
      </c>
      <c r="E572" s="388">
        <v>10</v>
      </c>
      <c r="F572" s="389">
        <v>175000</v>
      </c>
      <c r="G572" s="390">
        <f>F572*E572*D572*$P$5</f>
        <v>2275000</v>
      </c>
      <c r="H572" s="416"/>
      <c r="I572" s="416"/>
      <c r="K572" s="406"/>
      <c r="L572" s="406"/>
      <c r="M572" s="406"/>
      <c r="N572" s="406"/>
      <c r="O572" s="502"/>
      <c r="P572" s="406"/>
    </row>
    <row r="573" spans="1:20" s="287" customFormat="1" ht="13.8" thickBot="1">
      <c r="A573" s="289" t="s">
        <v>126</v>
      </c>
      <c r="B573" s="291" t="s">
        <v>127</v>
      </c>
      <c r="C573" s="284" t="s">
        <v>128</v>
      </c>
      <c r="D573" s="285">
        <v>1</v>
      </c>
      <c r="E573" s="286">
        <v>1</v>
      </c>
      <c r="F573" s="290">
        <f>230000000</f>
        <v>230000000</v>
      </c>
      <c r="G573" s="74">
        <f>F573*E573*D573</f>
        <v>230000000</v>
      </c>
      <c r="H573" s="416"/>
      <c r="I573" s="416"/>
      <c r="J573" s="405"/>
      <c r="K573" s="406"/>
      <c r="L573" s="406"/>
      <c r="M573" s="406"/>
      <c r="N573" s="406"/>
      <c r="O573" s="502"/>
      <c r="P573" s="406"/>
      <c r="Q573" s="407"/>
      <c r="R573" s="407"/>
      <c r="S573" s="407"/>
      <c r="T573" s="407"/>
    </row>
    <row r="574" spans="1:20" s="287" customFormat="1" ht="13.8" thickBot="1">
      <c r="A574" s="391"/>
      <c r="B574" s="392"/>
      <c r="C574" s="393"/>
      <c r="D574" s="394"/>
      <c r="E574" s="395"/>
      <c r="F574" s="396"/>
      <c r="G574" s="74"/>
      <c r="H574" s="416"/>
      <c r="I574" s="416"/>
      <c r="J574" s="405"/>
      <c r="K574" s="406"/>
      <c r="L574" s="406"/>
      <c r="M574" s="406"/>
      <c r="N574" s="406"/>
      <c r="O574" s="502"/>
      <c r="P574" s="406"/>
      <c r="Q574" s="407"/>
      <c r="R574" s="407"/>
      <c r="S574" s="407"/>
      <c r="T574" s="407"/>
    </row>
    <row r="575" spans="1:20" s="75" customFormat="1">
      <c r="A575" s="872" t="s">
        <v>129</v>
      </c>
      <c r="B575" s="578" t="s">
        <v>657</v>
      </c>
      <c r="C575" s="578"/>
      <c r="D575" s="578"/>
      <c r="E575" s="578"/>
      <c r="F575" s="579"/>
      <c r="G575" s="74">
        <f>G576+G597+G618</f>
        <v>83871250</v>
      </c>
      <c r="H575" s="416"/>
      <c r="I575" s="416"/>
      <c r="J575" s="129"/>
      <c r="Q575" s="77"/>
    </row>
    <row r="576" spans="1:20">
      <c r="A576" s="378" t="s">
        <v>556</v>
      </c>
      <c r="B576" s="379" t="s">
        <v>588</v>
      </c>
      <c r="C576" s="273" t="s">
        <v>111</v>
      </c>
      <c r="D576" s="274">
        <v>1</v>
      </c>
      <c r="E576" s="380">
        <f>125</f>
        <v>125</v>
      </c>
      <c r="F576" s="381">
        <f>MROUND(O576,10)</f>
        <v>285760</v>
      </c>
      <c r="G576" s="275">
        <f>F576*E576*D576</f>
        <v>35720000</v>
      </c>
      <c r="H576" s="416"/>
      <c r="I576" s="416"/>
      <c r="K576" s="472">
        <f>SUM(G578:G595)/$E576</f>
        <v>256608.18641061871</v>
      </c>
      <c r="L576" s="472">
        <f>K576*$L$344</f>
        <v>3207.6023301327341</v>
      </c>
      <c r="M576" s="472">
        <f>K576*$M$344</f>
        <v>3079.2982369274246</v>
      </c>
      <c r="N576" s="472">
        <f>SUM(K576:M576)</f>
        <v>262895.08697767887</v>
      </c>
      <c r="O576" s="473">
        <f>N576/$R$291</f>
        <v>285755.52932356397</v>
      </c>
      <c r="P576" s="472">
        <f>O576-N576</f>
        <v>22860.442345885094</v>
      </c>
      <c r="Q576" s="474">
        <f>1-K576/F576</f>
        <v>0.10201502515880911</v>
      </c>
      <c r="R576" s="475">
        <v>0.92</v>
      </c>
    </row>
    <row r="577" spans="1:16" hidden="1" outlineLevel="1">
      <c r="A577" s="51"/>
      <c r="B577" s="301" t="s">
        <v>589</v>
      </c>
      <c r="C577" s="244"/>
      <c r="D577" s="24"/>
      <c r="E577" s="123"/>
      <c r="F577" s="124"/>
      <c r="G577" s="125"/>
      <c r="H577" s="416"/>
      <c r="I577" s="416"/>
      <c r="K577" s="406"/>
      <c r="L577" s="406"/>
      <c r="M577" s="406"/>
      <c r="N577" s="406"/>
      <c r="O577" s="133"/>
      <c r="P577" s="406"/>
    </row>
    <row r="578" spans="1:16" hidden="1" outlineLevel="1">
      <c r="A578" s="51"/>
      <c r="B578" s="300" t="s">
        <v>557</v>
      </c>
      <c r="C578" s="126" t="s">
        <v>65</v>
      </c>
      <c r="D578" s="24">
        <v>1</v>
      </c>
      <c r="E578" s="123">
        <f>ROUNDDOWN(E576*1.5*0.1,0)</f>
        <v>18</v>
      </c>
      <c r="F578" s="124">
        <v>100000</v>
      </c>
      <c r="G578" s="125">
        <f>F578*E578*D578</f>
        <v>1800000</v>
      </c>
      <c r="H578" s="416"/>
      <c r="I578" s="416"/>
      <c r="K578" s="406">
        <f>F576/3.6</f>
        <v>79377.777777777781</v>
      </c>
      <c r="L578" s="406"/>
      <c r="M578" s="406"/>
      <c r="N578" s="406"/>
      <c r="O578" s="133"/>
      <c r="P578" s="406"/>
    </row>
    <row r="579" spans="1:16" hidden="1" outlineLevel="1">
      <c r="A579" s="51"/>
      <c r="B579" s="300" t="s">
        <v>561</v>
      </c>
      <c r="C579" s="126" t="s">
        <v>94</v>
      </c>
      <c r="D579" s="24">
        <v>1</v>
      </c>
      <c r="E579" s="123">
        <f>(E582+E583)*80</f>
        <v>5400</v>
      </c>
      <c r="F579" s="124">
        <v>700</v>
      </c>
      <c r="G579" s="125">
        <f t="shared" ref="G579:G591" si="80">F579*E579*D579</f>
        <v>3780000</v>
      </c>
      <c r="H579" s="416"/>
      <c r="I579" s="416"/>
      <c r="K579" s="406"/>
      <c r="L579" s="406"/>
      <c r="M579" s="406"/>
      <c r="N579" s="406"/>
      <c r="O579" s="133"/>
      <c r="P579" s="406"/>
    </row>
    <row r="580" spans="1:16" hidden="1" outlineLevel="1">
      <c r="A580" s="51"/>
      <c r="B580" s="300" t="s">
        <v>95</v>
      </c>
      <c r="C580" s="126" t="s">
        <v>94</v>
      </c>
      <c r="D580" s="24">
        <v>1</v>
      </c>
      <c r="E580" s="123">
        <f>E579*1.5%</f>
        <v>81</v>
      </c>
      <c r="F580" s="124">
        <f>1500</f>
        <v>1500</v>
      </c>
      <c r="G580" s="125">
        <f t="shared" si="80"/>
        <v>121500</v>
      </c>
      <c r="H580" s="416"/>
      <c r="I580" s="416"/>
      <c r="K580" s="406"/>
      <c r="L580" s="406"/>
      <c r="M580" s="406"/>
      <c r="N580" s="406"/>
      <c r="O580" s="133"/>
      <c r="P580" s="406"/>
    </row>
    <row r="581" spans="1:16" hidden="1" outlineLevel="1">
      <c r="A581" s="51"/>
      <c r="B581" s="300" t="s">
        <v>149</v>
      </c>
      <c r="C581" s="126" t="s">
        <v>65</v>
      </c>
      <c r="D581" s="24">
        <v>1</v>
      </c>
      <c r="E581" s="123"/>
      <c r="F581" s="124"/>
      <c r="G581" s="125"/>
      <c r="H581" s="416"/>
      <c r="I581" s="416"/>
      <c r="K581" s="406"/>
      <c r="L581" s="406"/>
      <c r="M581" s="406"/>
      <c r="N581" s="406"/>
      <c r="O581" s="133"/>
      <c r="P581" s="406"/>
    </row>
    <row r="582" spans="1:16" hidden="1" outlineLevel="1">
      <c r="A582" s="51"/>
      <c r="B582" s="300" t="s">
        <v>558</v>
      </c>
      <c r="C582" s="244" t="s">
        <v>65</v>
      </c>
      <c r="D582" s="24">
        <v>1</v>
      </c>
      <c r="E582" s="123">
        <f>E576*1.2*0.2</f>
        <v>30</v>
      </c>
      <c r="F582" s="124">
        <f>120000</f>
        <v>120000</v>
      </c>
      <c r="G582" s="125">
        <f>F582*E582*D582</f>
        <v>3600000</v>
      </c>
      <c r="H582" s="416"/>
      <c r="I582" s="416"/>
      <c r="K582" s="406"/>
      <c r="L582" s="406"/>
      <c r="M582" s="406"/>
      <c r="N582" s="406"/>
      <c r="O582" s="133"/>
      <c r="P582" s="406"/>
    </row>
    <row r="583" spans="1:16" hidden="1" outlineLevel="1">
      <c r="A583" s="51"/>
      <c r="B583" s="300" t="s">
        <v>690</v>
      </c>
      <c r="C583" s="244" t="s">
        <v>65</v>
      </c>
      <c r="D583" s="24">
        <v>1</v>
      </c>
      <c r="E583" s="123">
        <f>E576*1.5*0.2</f>
        <v>37.5</v>
      </c>
      <c r="F583" s="124">
        <f>120000</f>
        <v>120000</v>
      </c>
      <c r="G583" s="125">
        <f t="shared" si="80"/>
        <v>4500000</v>
      </c>
      <c r="H583" s="416"/>
      <c r="I583" s="416"/>
      <c r="K583" s="406"/>
      <c r="L583" s="406"/>
      <c r="M583" s="406"/>
      <c r="N583" s="406"/>
      <c r="O583" s="133"/>
      <c r="P583" s="406"/>
    </row>
    <row r="584" spans="1:16" hidden="1" outlineLevel="1">
      <c r="A584" s="51"/>
      <c r="B584" s="300" t="s">
        <v>151</v>
      </c>
      <c r="C584" s="126" t="s">
        <v>152</v>
      </c>
      <c r="D584" s="24">
        <v>1</v>
      </c>
      <c r="E584" s="123">
        <f>(1/0.8)*(E576*1.5)</f>
        <v>234.375</v>
      </c>
      <c r="F584" s="124"/>
      <c r="G584" s="125"/>
      <c r="H584" s="416"/>
      <c r="I584" s="416"/>
      <c r="K584" s="406"/>
      <c r="L584" s="406"/>
      <c r="M584" s="406"/>
      <c r="N584" s="406"/>
      <c r="O584" s="133"/>
      <c r="P584" s="406"/>
    </row>
    <row r="585" spans="1:16" hidden="1" outlineLevel="1">
      <c r="A585" s="51"/>
      <c r="B585" s="300" t="s">
        <v>285</v>
      </c>
      <c r="C585" s="126" t="s">
        <v>152</v>
      </c>
      <c r="D585" s="24">
        <v>1</v>
      </c>
      <c r="E585" s="123">
        <f>ROUNDUP((E584*0.2)/6,0)</f>
        <v>8</v>
      </c>
      <c r="F585" s="212">
        <v>2700</v>
      </c>
      <c r="G585" s="125">
        <f>F585*E585*D585</f>
        <v>21600</v>
      </c>
      <c r="H585" s="416"/>
      <c r="I585" s="416"/>
      <c r="K585" s="406"/>
      <c r="L585" s="406"/>
      <c r="M585" s="406"/>
      <c r="N585" s="406"/>
      <c r="O585" s="133"/>
      <c r="P585" s="406"/>
    </row>
    <row r="586" spans="1:16" hidden="1" outlineLevel="1">
      <c r="A586" s="51"/>
      <c r="B586" s="300" t="s">
        <v>560</v>
      </c>
      <c r="C586" s="244" t="s">
        <v>43</v>
      </c>
      <c r="D586" s="24">
        <v>1</v>
      </c>
      <c r="E586" s="123">
        <f>E576*1.5*2</f>
        <v>375</v>
      </c>
      <c r="F586" s="124">
        <f>25000/3.05+5000</f>
        <v>13196.72131147541</v>
      </c>
      <c r="G586" s="125">
        <f>F586*E586*D586</f>
        <v>4948770.4918032791</v>
      </c>
      <c r="H586" s="416"/>
      <c r="I586" s="416"/>
      <c r="K586" s="406"/>
      <c r="L586" s="406"/>
      <c r="M586" s="406"/>
      <c r="N586" s="406"/>
      <c r="O586" s="133"/>
      <c r="P586" s="406"/>
    </row>
    <row r="587" spans="1:16" hidden="1" outlineLevel="1">
      <c r="A587" s="296"/>
      <c r="B587" s="302" t="s">
        <v>584</v>
      </c>
      <c r="C587" s="295" t="s">
        <v>94</v>
      </c>
      <c r="D587" s="24">
        <v>1</v>
      </c>
      <c r="E587" s="123">
        <f>E586*0.15</f>
        <v>56.25</v>
      </c>
      <c r="F587" s="124">
        <f>1400</f>
        <v>1400</v>
      </c>
      <c r="G587" s="125">
        <f t="shared" ref="G587:G588" si="81">F587*E587*D587</f>
        <v>78750</v>
      </c>
      <c r="H587" s="416"/>
      <c r="I587" s="416"/>
      <c r="K587" s="406"/>
      <c r="L587" s="406"/>
      <c r="M587" s="406"/>
      <c r="N587" s="406"/>
      <c r="O587" s="133"/>
      <c r="P587" s="406"/>
    </row>
    <row r="588" spans="1:16" hidden="1" outlineLevel="1">
      <c r="A588" s="296"/>
      <c r="B588" s="302" t="s">
        <v>585</v>
      </c>
      <c r="C588" s="295" t="s">
        <v>94</v>
      </c>
      <c r="D588" s="24">
        <v>1</v>
      </c>
      <c r="E588" s="123">
        <f>ROUNDUP((1.8*E576*0.45)/25,0)</f>
        <v>5</v>
      </c>
      <c r="F588" s="124">
        <f>65000</f>
        <v>65000</v>
      </c>
      <c r="G588" s="125">
        <f t="shared" si="81"/>
        <v>325000</v>
      </c>
      <c r="H588" s="416"/>
      <c r="I588" s="416"/>
      <c r="K588" s="406"/>
      <c r="L588" s="406"/>
      <c r="M588" s="406"/>
      <c r="N588" s="406"/>
      <c r="O588" s="133"/>
      <c r="P588" s="406"/>
    </row>
    <row r="589" spans="1:16" hidden="1" outlineLevel="1">
      <c r="A589" s="51"/>
      <c r="B589" s="301" t="s">
        <v>693</v>
      </c>
      <c r="C589" s="244"/>
      <c r="D589" s="24"/>
      <c r="E589" s="123"/>
      <c r="F589" s="124"/>
      <c r="G589" s="125"/>
      <c r="H589" s="416"/>
      <c r="I589" s="416"/>
      <c r="K589" s="406"/>
      <c r="L589" s="406"/>
      <c r="M589" s="406"/>
      <c r="N589" s="406"/>
      <c r="O589" s="133"/>
      <c r="P589" s="406"/>
    </row>
    <row r="590" spans="1:16" hidden="1" outlineLevel="1">
      <c r="A590" s="51"/>
      <c r="B590" s="300" t="s">
        <v>591</v>
      </c>
      <c r="C590" s="244" t="s">
        <v>43</v>
      </c>
      <c r="D590" s="24">
        <v>1</v>
      </c>
      <c r="E590" s="123">
        <f>125*1.6</f>
        <v>200</v>
      </c>
      <c r="F590" s="124">
        <f>(13*450+13*(0.8*0.2*0.02)*50000)/0.76</f>
        <v>10434.21052631579</v>
      </c>
      <c r="G590" s="125">
        <f t="shared" si="80"/>
        <v>2086842.105263158</v>
      </c>
      <c r="H590" s="416"/>
      <c r="I590" s="416"/>
      <c r="K590" s="417">
        <f>(13*450+13*(0.8*0.2*0.02)*50000)</f>
        <v>7930</v>
      </c>
      <c r="L590" s="406">
        <f>K590/0.76</f>
        <v>10434.21052631579</v>
      </c>
      <c r="M590" s="406">
        <f>L590-K590</f>
        <v>2504.21052631579</v>
      </c>
      <c r="N590" s="406"/>
      <c r="O590" s="133"/>
      <c r="P590" s="406"/>
    </row>
    <row r="591" spans="1:16" hidden="1" outlineLevel="1">
      <c r="A591" s="51"/>
      <c r="B591" s="300" t="s">
        <v>559</v>
      </c>
      <c r="C591" s="244" t="s">
        <v>43</v>
      </c>
      <c r="D591" s="24">
        <v>1</v>
      </c>
      <c r="E591" s="123">
        <f>E590*2</f>
        <v>400</v>
      </c>
      <c r="F591" s="124">
        <f>(1*1*0.02*50000+3000)/0.76</f>
        <v>5263.1578947368416</v>
      </c>
      <c r="G591" s="125">
        <f t="shared" si="80"/>
        <v>2105263.1578947366</v>
      </c>
      <c r="H591" s="416"/>
      <c r="I591" s="416"/>
      <c r="K591" s="417">
        <f>(1*1*0.02*50000+3000)</f>
        <v>4000</v>
      </c>
      <c r="L591" s="406">
        <f t="shared" ref="L591:L592" si="82">K591/0.76</f>
        <v>5263.1578947368416</v>
      </c>
      <c r="M591" s="406">
        <f t="shared" ref="M591:M592" si="83">L591-K591</f>
        <v>1263.1578947368416</v>
      </c>
      <c r="N591" s="406"/>
      <c r="O591" s="133"/>
      <c r="P591" s="406"/>
    </row>
    <row r="592" spans="1:16" hidden="1" outlineLevel="1">
      <c r="A592" s="51"/>
      <c r="B592" s="300" t="s">
        <v>592</v>
      </c>
      <c r="C592" s="295" t="s">
        <v>31</v>
      </c>
      <c r="D592" s="24">
        <v>1</v>
      </c>
      <c r="E592" s="123">
        <f>ROUNDUP(1+E576/3,0)</f>
        <v>43</v>
      </c>
      <c r="F592" s="124">
        <f>1.6*0.15*0.15*$R$497</f>
        <v>20738.647959183669</v>
      </c>
      <c r="G592" s="125">
        <f t="shared" ref="G592" si="84">F592*E592*D592</f>
        <v>891761.86224489775</v>
      </c>
      <c r="H592" s="416"/>
      <c r="I592" s="416"/>
      <c r="K592" s="417">
        <f>1.8*0.15*0.15*$R$497</f>
        <v>23330.978954081631</v>
      </c>
      <c r="L592" s="406">
        <f t="shared" si="82"/>
        <v>30698.65651852846</v>
      </c>
      <c r="M592" s="406">
        <f t="shared" si="83"/>
        <v>7367.6775644468289</v>
      </c>
      <c r="N592" s="406"/>
      <c r="O592" s="133"/>
      <c r="P592" s="406"/>
    </row>
    <row r="593" spans="1:18" s="214" customFormat="1" hidden="1" outlineLevel="1">
      <c r="A593" s="210"/>
      <c r="B593" s="303" t="s">
        <v>154</v>
      </c>
      <c r="C593" s="33" t="s">
        <v>65</v>
      </c>
      <c r="D593" s="29">
        <v>1</v>
      </c>
      <c r="E593" s="211">
        <f>E576*1.5*0.6</f>
        <v>112.5</v>
      </c>
      <c r="F593" s="212">
        <f>$K$199</f>
        <v>5021.5015547439907</v>
      </c>
      <c r="G593" s="233">
        <f t="shared" ref="G593:G595" si="85">F593*E593*D593</f>
        <v>564918.924908699</v>
      </c>
      <c r="H593" s="416"/>
      <c r="I593" s="416"/>
      <c r="J593" s="520"/>
      <c r="K593" s="406"/>
      <c r="L593" s="406"/>
      <c r="M593" s="450"/>
      <c r="N593" s="450"/>
      <c r="O593" s="449"/>
      <c r="P593" s="450"/>
    </row>
    <row r="594" spans="1:18" s="214" customFormat="1" hidden="1" outlineLevel="1">
      <c r="A594" s="278"/>
      <c r="B594" s="304" t="s">
        <v>301</v>
      </c>
      <c r="C594" s="279" t="s">
        <v>65</v>
      </c>
      <c r="D594" s="280">
        <v>1</v>
      </c>
      <c r="E594" s="281">
        <f>E593-(E576*1.5*0.6*60%)</f>
        <v>45</v>
      </c>
      <c r="F594" s="282">
        <f>F593*1.025</f>
        <v>5147.0390936125905</v>
      </c>
      <c r="G594" s="283">
        <f t="shared" si="85"/>
        <v>231616.75921256657</v>
      </c>
      <c r="H594" s="416"/>
      <c r="I594" s="416"/>
      <c r="J594" s="520"/>
      <c r="K594" s="406"/>
      <c r="L594" s="406"/>
      <c r="M594" s="450"/>
      <c r="N594" s="450"/>
      <c r="O594" s="449"/>
      <c r="P594" s="450"/>
    </row>
    <row r="595" spans="1:18" s="214" customFormat="1" hidden="1" outlineLevel="1">
      <c r="A595" s="278"/>
      <c r="B595" s="304" t="s">
        <v>300</v>
      </c>
      <c r="C595" s="279" t="s">
        <v>65</v>
      </c>
      <c r="D595" s="280">
        <v>1</v>
      </c>
      <c r="E595" s="281">
        <f>E582+E583</f>
        <v>67.5</v>
      </c>
      <c r="F595" s="282">
        <v>104000</v>
      </c>
      <c r="G595" s="283">
        <f t="shared" si="85"/>
        <v>7020000</v>
      </c>
      <c r="H595" s="416"/>
      <c r="I595" s="416"/>
      <c r="J595" s="520"/>
      <c r="K595" s="406"/>
      <c r="L595" s="406"/>
      <c r="M595" s="450"/>
      <c r="N595" s="450"/>
      <c r="O595" s="449"/>
      <c r="P595" s="450"/>
    </row>
    <row r="596" spans="1:18" collapsed="1">
      <c r="A596" s="378" t="s">
        <v>593</v>
      </c>
      <c r="B596" s="305" t="s">
        <v>594</v>
      </c>
      <c r="C596" s="261"/>
      <c r="D596" s="276"/>
      <c r="E596" s="123"/>
      <c r="F596" s="124"/>
      <c r="G596" s="275"/>
      <c r="H596" s="416"/>
      <c r="I596" s="416"/>
      <c r="K596" s="407"/>
      <c r="L596" s="407"/>
      <c r="M596" s="407"/>
      <c r="N596" s="407"/>
      <c r="O596" s="407"/>
      <c r="P596" s="407"/>
    </row>
    <row r="597" spans="1:18" ht="26.4">
      <c r="A597" s="378">
        <v>1</v>
      </c>
      <c r="B597" s="230" t="s">
        <v>595</v>
      </c>
      <c r="C597" s="261" t="s">
        <v>111</v>
      </c>
      <c r="D597" s="276">
        <v>1</v>
      </c>
      <c r="E597" s="123">
        <v>125</v>
      </c>
      <c r="F597" s="124">
        <f>MROUND(O597,10)</f>
        <v>289210</v>
      </c>
      <c r="G597" s="275">
        <f>F597*E597*D597</f>
        <v>36151250</v>
      </c>
      <c r="H597" s="416"/>
      <c r="I597" s="416"/>
      <c r="K597" s="472">
        <f>SUM(G599:G616)/$E597</f>
        <v>259712.86587652846</v>
      </c>
      <c r="L597" s="472">
        <f>K597*$L$344</f>
        <v>3246.4108234566061</v>
      </c>
      <c r="M597" s="472">
        <f>K597*$M$344</f>
        <v>3116.5543905183417</v>
      </c>
      <c r="N597" s="472">
        <f>SUM(K597:M597)</f>
        <v>266075.83109050343</v>
      </c>
      <c r="O597" s="473">
        <f>N597/$R$291</f>
        <v>289212.85988098197</v>
      </c>
      <c r="P597" s="472">
        <f>O597-N597</f>
        <v>23137.028790478536</v>
      </c>
      <c r="Q597" s="474">
        <f>1-K597/F597</f>
        <v>0.1019920961359273</v>
      </c>
      <c r="R597" s="475">
        <v>0.93</v>
      </c>
    </row>
    <row r="598" spans="1:18" hidden="1" outlineLevel="1">
      <c r="A598" s="378"/>
      <c r="B598" s="318" t="s">
        <v>689</v>
      </c>
      <c r="C598" s="244"/>
      <c r="D598" s="24"/>
      <c r="E598" s="123"/>
      <c r="F598" s="124"/>
      <c r="G598" s="125"/>
      <c r="H598" s="416"/>
      <c r="I598" s="416"/>
      <c r="K598" s="406"/>
      <c r="L598" s="406"/>
      <c r="M598" s="406"/>
      <c r="N598" s="406"/>
      <c r="O598" s="133"/>
      <c r="P598" s="406"/>
    </row>
    <row r="599" spans="1:18" hidden="1" outlineLevel="1">
      <c r="A599" s="378"/>
      <c r="B599" s="319" t="s">
        <v>557</v>
      </c>
      <c r="C599" s="126" t="s">
        <v>65</v>
      </c>
      <c r="D599" s="24">
        <v>1</v>
      </c>
      <c r="E599" s="123">
        <f>ROUNDDOWN(E597*1.5*0.1,0)</f>
        <v>18</v>
      </c>
      <c r="F599" s="124">
        <v>100000</v>
      </c>
      <c r="G599" s="125">
        <f>F599*E599*D599</f>
        <v>1800000</v>
      </c>
      <c r="H599" s="416"/>
      <c r="I599" s="416"/>
      <c r="K599" s="406">
        <f>F597/3.8</f>
        <v>76107.894736842107</v>
      </c>
      <c r="L599" s="406"/>
      <c r="M599" s="406"/>
      <c r="N599" s="406"/>
      <c r="O599" s="133"/>
      <c r="P599" s="406"/>
    </row>
    <row r="600" spans="1:18" hidden="1" outlineLevel="1">
      <c r="A600" s="378"/>
      <c r="B600" s="319" t="s">
        <v>561</v>
      </c>
      <c r="C600" s="126" t="s">
        <v>94</v>
      </c>
      <c r="D600" s="24">
        <v>1</v>
      </c>
      <c r="E600" s="123">
        <f>(E603+E604)*80</f>
        <v>6400</v>
      </c>
      <c r="F600" s="124">
        <v>700</v>
      </c>
      <c r="G600" s="125">
        <f t="shared" ref="G600:G601" si="86">F600*E600*D600</f>
        <v>4480000</v>
      </c>
      <c r="H600" s="416"/>
      <c r="I600" s="416"/>
      <c r="K600" s="406"/>
      <c r="L600" s="406"/>
      <c r="M600" s="406"/>
      <c r="N600" s="406"/>
      <c r="O600" s="133"/>
      <c r="P600" s="406"/>
    </row>
    <row r="601" spans="1:18" hidden="1" outlineLevel="1">
      <c r="A601" s="378"/>
      <c r="B601" s="319" t="s">
        <v>95</v>
      </c>
      <c r="C601" s="126" t="s">
        <v>94</v>
      </c>
      <c r="D601" s="24">
        <v>1</v>
      </c>
      <c r="E601" s="123">
        <f>E600*1.5%</f>
        <v>96</v>
      </c>
      <c r="F601" s="124">
        <f>1500</f>
        <v>1500</v>
      </c>
      <c r="G601" s="125">
        <f t="shared" si="86"/>
        <v>144000</v>
      </c>
      <c r="H601" s="416"/>
      <c r="I601" s="416"/>
      <c r="K601" s="406"/>
      <c r="L601" s="406"/>
      <c r="M601" s="406"/>
      <c r="N601" s="406"/>
      <c r="O601" s="133"/>
      <c r="P601" s="406"/>
    </row>
    <row r="602" spans="1:18" hidden="1" outlineLevel="1">
      <c r="A602" s="378"/>
      <c r="B602" s="319" t="s">
        <v>149</v>
      </c>
      <c r="C602" s="126" t="s">
        <v>65</v>
      </c>
      <c r="D602" s="24">
        <v>1</v>
      </c>
      <c r="E602" s="123"/>
      <c r="F602" s="124"/>
      <c r="G602" s="125"/>
      <c r="H602" s="416"/>
      <c r="I602" s="416"/>
      <c r="K602" s="406"/>
      <c r="L602" s="406"/>
      <c r="M602" s="406"/>
      <c r="N602" s="406"/>
      <c r="O602" s="133"/>
      <c r="P602" s="406"/>
    </row>
    <row r="603" spans="1:18" hidden="1" outlineLevel="1">
      <c r="A603" s="378"/>
      <c r="B603" s="319" t="s">
        <v>558</v>
      </c>
      <c r="C603" s="244" t="s">
        <v>65</v>
      </c>
      <c r="D603" s="24">
        <v>1</v>
      </c>
      <c r="E603" s="123">
        <f>E597*1.2*0.2</f>
        <v>30</v>
      </c>
      <c r="F603" s="124">
        <f>120000</f>
        <v>120000</v>
      </c>
      <c r="G603" s="125">
        <f>F603*E603*D603</f>
        <v>3600000</v>
      </c>
      <c r="H603" s="416"/>
      <c r="I603" s="416"/>
      <c r="K603" s="406"/>
      <c r="L603" s="406"/>
      <c r="M603" s="406"/>
      <c r="N603" s="406"/>
      <c r="O603" s="133"/>
      <c r="P603" s="406"/>
    </row>
    <row r="604" spans="1:18" hidden="1" outlineLevel="1">
      <c r="A604" s="378"/>
      <c r="B604" s="319" t="s">
        <v>688</v>
      </c>
      <c r="C604" s="244" t="s">
        <v>65</v>
      </c>
      <c r="D604" s="24">
        <v>1</v>
      </c>
      <c r="E604" s="123">
        <f>E597*(2.2-0.2)*0.2</f>
        <v>50</v>
      </c>
      <c r="F604" s="124">
        <f>120000</f>
        <v>120000</v>
      </c>
      <c r="G604" s="125">
        <f t="shared" ref="G604" si="87">F604*E604*D604</f>
        <v>6000000</v>
      </c>
      <c r="H604" s="416"/>
      <c r="I604" s="416"/>
      <c r="K604" s="406"/>
      <c r="L604" s="406"/>
      <c r="M604" s="406"/>
      <c r="N604" s="406"/>
      <c r="O604" s="133"/>
      <c r="P604" s="406"/>
    </row>
    <row r="605" spans="1:18" hidden="1" outlineLevel="1">
      <c r="A605" s="378"/>
      <c r="B605" s="319" t="s">
        <v>151</v>
      </c>
      <c r="C605" s="126" t="s">
        <v>152</v>
      </c>
      <c r="D605" s="24">
        <v>1</v>
      </c>
      <c r="E605" s="123">
        <f>(1/0.8)*(E597*2)</f>
        <v>312.5</v>
      </c>
      <c r="F605" s="124"/>
      <c r="G605" s="125"/>
      <c r="H605" s="416"/>
      <c r="I605" s="416"/>
      <c r="K605" s="406"/>
      <c r="L605" s="406"/>
      <c r="M605" s="406"/>
      <c r="N605" s="406"/>
      <c r="O605" s="133"/>
      <c r="P605" s="406"/>
    </row>
    <row r="606" spans="1:18" hidden="1" outlineLevel="1">
      <c r="A606" s="378"/>
      <c r="B606" s="319" t="s">
        <v>285</v>
      </c>
      <c r="C606" s="126" t="s">
        <v>152</v>
      </c>
      <c r="D606" s="24">
        <v>1</v>
      </c>
      <c r="E606" s="123">
        <f>ROUNDUP((E605*0.2)/6,0)</f>
        <v>11</v>
      </c>
      <c r="F606" s="212">
        <v>2700</v>
      </c>
      <c r="G606" s="125">
        <f>F606*E606*D606</f>
        <v>29700</v>
      </c>
      <c r="H606" s="416"/>
      <c r="I606" s="416"/>
      <c r="K606" s="406"/>
      <c r="L606" s="406"/>
      <c r="M606" s="406"/>
      <c r="N606" s="406"/>
      <c r="O606" s="133"/>
      <c r="P606" s="406"/>
    </row>
    <row r="607" spans="1:18" hidden="1" outlineLevel="1">
      <c r="A607" s="378"/>
      <c r="B607" s="319" t="s">
        <v>560</v>
      </c>
      <c r="C607" s="244" t="s">
        <v>43</v>
      </c>
      <c r="D607" s="24">
        <v>1</v>
      </c>
      <c r="E607" s="123">
        <f>E597*2*2</f>
        <v>500</v>
      </c>
      <c r="F607" s="124">
        <f>25000/3.05+5000</f>
        <v>13196.72131147541</v>
      </c>
      <c r="G607" s="125">
        <f>F607*E607*D607</f>
        <v>6598360.6557377055</v>
      </c>
      <c r="H607" s="416"/>
      <c r="I607" s="416"/>
      <c r="K607" s="406"/>
      <c r="L607" s="406"/>
      <c r="M607" s="406"/>
      <c r="N607" s="406"/>
      <c r="O607" s="133"/>
      <c r="P607" s="406"/>
    </row>
    <row r="608" spans="1:18" hidden="1" outlineLevel="1">
      <c r="A608" s="378"/>
      <c r="B608" s="320" t="s">
        <v>584</v>
      </c>
      <c r="C608" s="295" t="s">
        <v>94</v>
      </c>
      <c r="D608" s="24">
        <v>1</v>
      </c>
      <c r="E608" s="123">
        <f>E607*0.15</f>
        <v>75</v>
      </c>
      <c r="F608" s="124">
        <f>1400</f>
        <v>1400</v>
      </c>
      <c r="G608" s="125">
        <f t="shared" ref="G608:G609" si="88">F608*E608*D608</f>
        <v>105000</v>
      </c>
      <c r="H608" s="416"/>
      <c r="I608" s="416"/>
      <c r="K608" s="406"/>
      <c r="L608" s="406"/>
      <c r="M608" s="406"/>
      <c r="N608" s="406"/>
      <c r="O608" s="133"/>
      <c r="P608" s="406"/>
    </row>
    <row r="609" spans="1:20" hidden="1" outlineLevel="1">
      <c r="A609" s="378"/>
      <c r="B609" s="320" t="s">
        <v>585</v>
      </c>
      <c r="C609" s="295" t="s">
        <v>94</v>
      </c>
      <c r="D609" s="24">
        <v>1</v>
      </c>
      <c r="E609" s="123">
        <f>ROUNDUP((2*E597*0.45)/25,0)</f>
        <v>5</v>
      </c>
      <c r="F609" s="124">
        <f>65000</f>
        <v>65000</v>
      </c>
      <c r="G609" s="125">
        <f t="shared" si="88"/>
        <v>325000</v>
      </c>
      <c r="H609" s="416"/>
      <c r="I609" s="416"/>
      <c r="K609" s="406"/>
      <c r="L609" s="406"/>
      <c r="M609" s="406"/>
      <c r="N609" s="406"/>
      <c r="O609" s="133"/>
      <c r="P609" s="406"/>
    </row>
    <row r="610" spans="1:20" hidden="1" outlineLevel="1">
      <c r="A610" s="378"/>
      <c r="B610" s="318" t="s">
        <v>590</v>
      </c>
      <c r="C610" s="244"/>
      <c r="D610" s="24"/>
      <c r="E610" s="123"/>
      <c r="F610" s="124"/>
      <c r="G610" s="125"/>
      <c r="H610" s="416"/>
      <c r="I610" s="416"/>
      <c r="K610" s="406"/>
      <c r="L610" s="406"/>
      <c r="M610" s="406"/>
      <c r="N610" s="406"/>
      <c r="O610" s="133"/>
      <c r="P610" s="406"/>
    </row>
    <row r="611" spans="1:20" hidden="1" outlineLevel="1">
      <c r="A611" s="378"/>
      <c r="B611" s="319" t="s">
        <v>591</v>
      </c>
      <c r="C611" s="244" t="s">
        <v>43</v>
      </c>
      <c r="D611" s="24">
        <v>0</v>
      </c>
      <c r="E611" s="123">
        <f>125*2</f>
        <v>250</v>
      </c>
      <c r="F611" s="124">
        <f>(13*450+13*(0.8*0.2*0.02)*50000)/0.76</f>
        <v>10434.21052631579</v>
      </c>
      <c r="G611" s="125">
        <f t="shared" ref="G611:G615" si="89">F611*E611*D611</f>
        <v>0</v>
      </c>
      <c r="H611" s="416"/>
      <c r="I611" s="416"/>
      <c r="K611" s="406"/>
      <c r="L611" s="406"/>
      <c r="M611" s="406"/>
      <c r="N611" s="406"/>
      <c r="O611" s="133"/>
      <c r="P611" s="406"/>
    </row>
    <row r="612" spans="1:20" hidden="1" outlineLevel="1">
      <c r="A612" s="378"/>
      <c r="B612" s="319" t="s">
        <v>559</v>
      </c>
      <c r="C612" s="244" t="s">
        <v>43</v>
      </c>
      <c r="D612" s="24">
        <v>0</v>
      </c>
      <c r="E612" s="123">
        <f>E611*2</f>
        <v>500</v>
      </c>
      <c r="F612" s="124">
        <f>(1*1*0.02*50000+3000)/0.76</f>
        <v>5263.1578947368416</v>
      </c>
      <c r="G612" s="125">
        <f t="shared" si="89"/>
        <v>0</v>
      </c>
      <c r="H612" s="416"/>
      <c r="I612" s="416"/>
      <c r="K612" s="406">
        <f>F611+F612</f>
        <v>15697.368421052632</v>
      </c>
      <c r="L612" s="406"/>
      <c r="M612" s="406"/>
      <c r="N612" s="406"/>
      <c r="O612" s="133"/>
      <c r="P612" s="406"/>
    </row>
    <row r="613" spans="1:20" hidden="1" outlineLevel="1">
      <c r="A613" s="378"/>
      <c r="B613" s="319" t="s">
        <v>592</v>
      </c>
      <c r="C613" s="295" t="s">
        <v>31</v>
      </c>
      <c r="D613" s="24">
        <v>0</v>
      </c>
      <c r="E613" s="123">
        <f>ROUNDUP(1+E597/3,0)</f>
        <v>43</v>
      </c>
      <c r="F613" s="124">
        <f>1.8*0.15*0.15*$R$497</f>
        <v>23330.978954081631</v>
      </c>
      <c r="G613" s="125">
        <f t="shared" si="89"/>
        <v>0</v>
      </c>
      <c r="H613" s="416"/>
      <c r="I613" s="416"/>
      <c r="K613" s="406">
        <f>F612+F613</f>
        <v>28594.136848818474</v>
      </c>
      <c r="L613" s="406"/>
      <c r="M613" s="406"/>
      <c r="N613" s="406"/>
      <c r="O613" s="133"/>
      <c r="P613" s="406"/>
    </row>
    <row r="614" spans="1:20" s="214" customFormat="1" hidden="1" outlineLevel="1">
      <c r="A614" s="378"/>
      <c r="B614" s="321" t="s">
        <v>154</v>
      </c>
      <c r="C614" s="33" t="s">
        <v>65</v>
      </c>
      <c r="D614" s="29">
        <v>1</v>
      </c>
      <c r="E614" s="211">
        <f>E597*1.5*0.8</f>
        <v>150</v>
      </c>
      <c r="F614" s="212">
        <f>$K$199</f>
        <v>5021.5015547439907</v>
      </c>
      <c r="G614" s="233">
        <f t="shared" si="89"/>
        <v>753225.23321159859</v>
      </c>
      <c r="H614" s="416"/>
      <c r="I614" s="416"/>
      <c r="J614" s="520"/>
      <c r="K614" s="406"/>
      <c r="L614" s="406"/>
      <c r="M614" s="450"/>
      <c r="N614" s="450"/>
      <c r="O614" s="449"/>
      <c r="P614" s="450"/>
    </row>
    <row r="615" spans="1:20" s="214" customFormat="1" hidden="1" outlineLevel="1">
      <c r="A615" s="378"/>
      <c r="B615" s="322" t="s">
        <v>301</v>
      </c>
      <c r="C615" s="279" t="s">
        <v>65</v>
      </c>
      <c r="D615" s="280">
        <v>1</v>
      </c>
      <c r="E615" s="281">
        <f>E614-(E597*1.5*0.8*60%)</f>
        <v>60</v>
      </c>
      <c r="F615" s="282">
        <f>F614*1.025</f>
        <v>5147.0390936125905</v>
      </c>
      <c r="G615" s="283">
        <f t="shared" si="89"/>
        <v>308822.34561675542</v>
      </c>
      <c r="H615" s="416"/>
      <c r="I615" s="416"/>
      <c r="J615" s="520"/>
      <c r="K615" s="406"/>
      <c r="L615" s="406"/>
      <c r="M615" s="450"/>
      <c r="N615" s="450"/>
      <c r="O615" s="449"/>
      <c r="P615" s="450"/>
    </row>
    <row r="616" spans="1:20" s="214" customFormat="1" hidden="1" outlineLevel="1">
      <c r="A616" s="378"/>
      <c r="B616" s="304" t="s">
        <v>300</v>
      </c>
      <c r="C616" s="279" t="s">
        <v>65</v>
      </c>
      <c r="D616" s="280">
        <v>1</v>
      </c>
      <c r="E616" s="281">
        <f>E603+E604</f>
        <v>80</v>
      </c>
      <c r="F616" s="282">
        <v>104000</v>
      </c>
      <c r="G616" s="283">
        <f>F616*E616*D616</f>
        <v>8320000</v>
      </c>
      <c r="H616" s="416"/>
      <c r="I616" s="416"/>
      <c r="J616" s="520"/>
      <c r="K616" s="406"/>
      <c r="L616" s="406"/>
      <c r="M616" s="450"/>
      <c r="N616" s="450"/>
      <c r="O616" s="449"/>
      <c r="P616" s="450"/>
    </row>
    <row r="617" spans="1:20" s="214" customFormat="1" hidden="1" outlineLevel="1">
      <c r="A617" s="378"/>
      <c r="B617" s="323"/>
      <c r="C617" s="306"/>
      <c r="D617" s="307"/>
      <c r="E617" s="308"/>
      <c r="F617" s="309"/>
      <c r="G617" s="310"/>
      <c r="H617" s="416"/>
      <c r="I617" s="416"/>
      <c r="J617" s="520"/>
      <c r="K617" s="406"/>
      <c r="L617" s="406"/>
      <c r="M617" s="450"/>
      <c r="N617" s="450"/>
      <c r="O617" s="449"/>
      <c r="P617" s="450"/>
    </row>
    <row r="618" spans="1:20" ht="27" collapsed="1" thickBot="1">
      <c r="A618" s="378">
        <v>2</v>
      </c>
      <c r="B618" s="230" t="s">
        <v>596</v>
      </c>
      <c r="C618" s="261" t="s">
        <v>41</v>
      </c>
      <c r="D618" s="276">
        <v>1</v>
      </c>
      <c r="E618" s="123">
        <v>1</v>
      </c>
      <c r="F618" s="124">
        <v>12000000</v>
      </c>
      <c r="G618" s="275">
        <f>F618*E618*D618</f>
        <v>12000000</v>
      </c>
      <c r="H618" s="416"/>
      <c r="I618" s="416"/>
      <c r="K618" s="407"/>
      <c r="L618" s="407"/>
      <c r="M618" s="407"/>
      <c r="N618" s="407"/>
      <c r="O618" s="407"/>
      <c r="P618" s="407"/>
    </row>
    <row r="619" spans="1:20" ht="13.8" thickBot="1">
      <c r="A619" s="311"/>
      <c r="B619" s="312"/>
      <c r="C619" s="313"/>
      <c r="D619" s="314"/>
      <c r="E619" s="315"/>
      <c r="F619" s="316"/>
      <c r="G619" s="317"/>
      <c r="H619" s="416"/>
      <c r="I619" s="416"/>
      <c r="K619" s="585" t="s">
        <v>699</v>
      </c>
      <c r="L619" s="585"/>
      <c r="M619" s="585"/>
      <c r="N619" s="585"/>
      <c r="O619" s="585"/>
      <c r="P619" s="585"/>
      <c r="Q619" s="585"/>
    </row>
    <row r="620" spans="1:20" s="287" customFormat="1" ht="13.8" collapsed="1" thickBot="1">
      <c r="A620" s="397" t="s">
        <v>781</v>
      </c>
      <c r="B620" s="291" t="s">
        <v>796</v>
      </c>
      <c r="C620" s="284" t="s">
        <v>128</v>
      </c>
      <c r="D620" s="285">
        <v>1</v>
      </c>
      <c r="E620" s="286">
        <v>1</v>
      </c>
      <c r="F620" s="290">
        <v>25000000</v>
      </c>
      <c r="G620" s="288">
        <f>F620*E620*D620</f>
        <v>25000000</v>
      </c>
      <c r="H620" s="416"/>
      <c r="I620" s="416"/>
      <c r="J620" s="405"/>
      <c r="K620" s="583" t="s">
        <v>697</v>
      </c>
      <c r="L620" s="583"/>
      <c r="M620" s="583"/>
      <c r="N620" s="133"/>
      <c r="O620" s="584" t="s">
        <v>698</v>
      </c>
      <c r="P620" s="584"/>
      <c r="Q620" s="584"/>
      <c r="R620" s="407"/>
      <c r="S620" s="407"/>
      <c r="T620" s="407"/>
    </row>
    <row r="621" spans="1:20" s="75" customFormat="1" ht="13.8" thickBot="1">
      <c r="A621" s="573"/>
      <c r="B621" s="574"/>
      <c r="C621" s="574"/>
      <c r="D621" s="574"/>
      <c r="E621" s="574"/>
      <c r="F621" s="574"/>
      <c r="G621" s="575"/>
      <c r="H621" s="416"/>
      <c r="I621" s="416"/>
      <c r="J621" s="129"/>
      <c r="L621" s="75" t="s">
        <v>603</v>
      </c>
      <c r="M621" s="431" t="s">
        <v>679</v>
      </c>
      <c r="P621" s="75" t="s">
        <v>603</v>
      </c>
      <c r="Q621" s="431" t="s">
        <v>679</v>
      </c>
    </row>
    <row r="622" spans="1:20" s="77" customFormat="1" ht="16.8">
      <c r="A622" s="576" t="s">
        <v>701</v>
      </c>
      <c r="B622" s="577"/>
      <c r="C622" s="577"/>
      <c r="D622" s="577"/>
      <c r="E622" s="577"/>
      <c r="F622" s="577"/>
      <c r="G622" s="843">
        <f>G556+G562+G573+G575+G620</f>
        <v>3888836402.8829951</v>
      </c>
      <c r="H622" s="416"/>
      <c r="I622" s="416"/>
      <c r="J622" s="129"/>
      <c r="K622" s="505">
        <f>[1]recap!$G$463</f>
        <v>2704441229.4000001</v>
      </c>
      <c r="L622" s="489">
        <f>G556-K622</f>
        <v>794649761.47644281</v>
      </c>
      <c r="M622" s="506">
        <f>L622/K622</f>
        <v>0.29383140326282542</v>
      </c>
      <c r="N622" s="428"/>
      <c r="O622" s="489">
        <f>[1]recap!$G$484</f>
        <v>2995552891.4065523</v>
      </c>
      <c r="P622" s="489">
        <f>G622-O622</f>
        <v>893283511.47644281</v>
      </c>
      <c r="Q622" s="507">
        <f>P622/O622</f>
        <v>0.29820321785638859</v>
      </c>
    </row>
    <row r="623" spans="1:20" s="77" customFormat="1" ht="16.8">
      <c r="A623" s="551" t="s">
        <v>112</v>
      </c>
      <c r="B623" s="552"/>
      <c r="C623" s="552"/>
      <c r="D623" s="552"/>
      <c r="E623" s="552"/>
      <c r="F623" s="552"/>
      <c r="G623" s="844">
        <f>ROUNDUP(0.18*G622,0)</f>
        <v>699990553</v>
      </c>
      <c r="H623" s="416"/>
      <c r="I623" s="416"/>
      <c r="J623" s="129"/>
      <c r="K623" s="508">
        <f>ROUNDUP(K622*18%,0)</f>
        <v>486799422</v>
      </c>
      <c r="L623" s="492"/>
      <c r="M623" s="492"/>
      <c r="N623" s="429"/>
      <c r="O623" s="509">
        <f>ROUNDUP(O622*18%,0)</f>
        <v>539199521</v>
      </c>
      <c r="P623" s="492"/>
      <c r="Q623" s="497"/>
    </row>
    <row r="624" spans="1:20" s="77" customFormat="1" ht="16.8">
      <c r="A624" s="548" t="s">
        <v>113</v>
      </c>
      <c r="B624" s="549"/>
      <c r="C624" s="549"/>
      <c r="D624" s="549"/>
      <c r="E624" s="549"/>
      <c r="F624" s="549"/>
      <c r="G624" s="845">
        <f>ROUNDDOWN(G622*1%,0)</f>
        <v>38888364</v>
      </c>
      <c r="H624" s="416"/>
      <c r="I624" s="416"/>
      <c r="J624" s="129"/>
      <c r="K624" s="508">
        <f>ROUNDDOWN(K622*1%,0)</f>
        <v>27044412</v>
      </c>
      <c r="L624" s="492"/>
      <c r="M624" s="492"/>
      <c r="N624" s="429"/>
      <c r="O624" s="509">
        <f>ROUNDDOWN(O622*1%,0)</f>
        <v>29955528</v>
      </c>
      <c r="P624" s="492"/>
      <c r="Q624" s="497"/>
    </row>
    <row r="625" spans="1:17" s="77" customFormat="1" ht="17.399999999999999" thickBot="1">
      <c r="A625" s="847" t="s">
        <v>702</v>
      </c>
      <c r="B625" s="848"/>
      <c r="C625" s="848"/>
      <c r="D625" s="848"/>
      <c r="E625" s="848"/>
      <c r="F625" s="848"/>
      <c r="G625" s="846">
        <f>G622+G623+G624</f>
        <v>4627715319.8829956</v>
      </c>
      <c r="H625" s="416"/>
      <c r="I625" s="416"/>
      <c r="J625" s="129"/>
      <c r="K625" s="510">
        <f>SUM(K622:K624)</f>
        <v>3218285063.4000001</v>
      </c>
      <c r="L625" s="511">
        <f>G559-K625</f>
        <v>945633215.47644281</v>
      </c>
      <c r="M625" s="512">
        <f>L625/K625</f>
        <v>0.29383140301357147</v>
      </c>
      <c r="N625" s="430"/>
      <c r="O625" s="511">
        <f>SUM(O622:O624)</f>
        <v>3564707940.4065523</v>
      </c>
      <c r="P625" s="511">
        <f>G625-O625</f>
        <v>1063007379.4764433</v>
      </c>
      <c r="Q625" s="513">
        <f>P625/O625</f>
        <v>0.29820321811699618</v>
      </c>
    </row>
    <row r="626" spans="1:17">
      <c r="A626" s="78"/>
      <c r="B626" s="78"/>
      <c r="C626" s="78"/>
      <c r="D626" s="78"/>
      <c r="E626" s="78"/>
      <c r="F626" s="78"/>
      <c r="G626" s="79"/>
      <c r="H626" s="416"/>
      <c r="I626" s="416"/>
      <c r="K626" s="406"/>
      <c r="L626" s="406"/>
      <c r="M626" s="406"/>
      <c r="N626" s="406"/>
      <c r="O626" s="133"/>
      <c r="P626" s="406"/>
    </row>
    <row r="627" spans="1:17" ht="13.8">
      <c r="A627" s="80"/>
      <c r="B627" s="3" t="s">
        <v>692</v>
      </c>
      <c r="E627" s="80"/>
      <c r="F627" s="81"/>
      <c r="H627" s="416"/>
      <c r="I627" s="416"/>
      <c r="K627" s="406"/>
      <c r="L627" s="406"/>
      <c r="M627" s="406"/>
      <c r="N627" s="406"/>
      <c r="O627" s="133"/>
      <c r="P627" s="406"/>
    </row>
    <row r="628" spans="1:17">
      <c r="A628" s="550" t="s">
        <v>806</v>
      </c>
      <c r="B628" s="550"/>
      <c r="C628" s="550"/>
      <c r="D628" s="550"/>
      <c r="E628" s="550"/>
      <c r="F628" s="550"/>
      <c r="G628" s="550"/>
      <c r="H628" s="416"/>
      <c r="I628" s="416"/>
      <c r="K628" s="406"/>
    </row>
    <row r="629" spans="1:17" ht="19.2" customHeight="1">
      <c r="A629" s="550"/>
      <c r="B629" s="550"/>
      <c r="C629" s="550"/>
      <c r="D629" s="550"/>
      <c r="E629" s="550"/>
      <c r="F629" s="550"/>
      <c r="G629" s="550"/>
      <c r="H629" s="416"/>
      <c r="I629" s="416"/>
      <c r="K629" s="406"/>
    </row>
    <row r="630" spans="1:17" ht="17.399999999999999">
      <c r="A630" s="873" t="s">
        <v>130</v>
      </c>
      <c r="B630" s="873"/>
      <c r="C630" s="873"/>
      <c r="D630" s="873"/>
      <c r="E630" s="873"/>
      <c r="F630" s="873"/>
      <c r="G630" s="873"/>
      <c r="H630" s="416"/>
      <c r="I630" s="416"/>
    </row>
    <row r="631" spans="1:17" ht="17.399999999999999">
      <c r="A631" s="873" t="s">
        <v>131</v>
      </c>
      <c r="B631" s="873"/>
      <c r="C631" s="873"/>
      <c r="D631" s="873"/>
      <c r="E631" s="873"/>
      <c r="F631" s="873"/>
      <c r="G631" s="873"/>
      <c r="H631" s="416"/>
      <c r="I631" s="416"/>
    </row>
    <row r="632" spans="1:17">
      <c r="C632" s="82"/>
      <c r="D632" s="82"/>
      <c r="E632" s="82"/>
      <c r="F632" s="82"/>
      <c r="G632" s="82"/>
      <c r="H632" s="416"/>
      <c r="I632" s="416"/>
    </row>
    <row r="633" spans="1:17">
      <c r="H633" s="416"/>
      <c r="I633" s="416"/>
    </row>
    <row r="634" spans="1:17">
      <c r="H634" s="416"/>
      <c r="I634" s="416"/>
    </row>
  </sheetData>
  <mergeCells count="36">
    <mergeCell ref="I3:J3"/>
    <mergeCell ref="I4:J4"/>
    <mergeCell ref="I5:J5"/>
    <mergeCell ref="K620:M620"/>
    <mergeCell ref="O620:Q620"/>
    <mergeCell ref="K619:Q619"/>
    <mergeCell ref="A12:G12"/>
    <mergeCell ref="Q38:R41"/>
    <mergeCell ref="Q192:R192"/>
    <mergeCell ref="L46:L47"/>
    <mergeCell ref="L73:M73"/>
    <mergeCell ref="L71:M72"/>
    <mergeCell ref="L188:M189"/>
    <mergeCell ref="M190:N190"/>
    <mergeCell ref="N4:N5"/>
    <mergeCell ref="A6:G6"/>
    <mergeCell ref="A7:G7"/>
    <mergeCell ref="A9:G9"/>
    <mergeCell ref="A10:G10"/>
    <mergeCell ref="A623:F623"/>
    <mergeCell ref="A14:G14"/>
    <mergeCell ref="A556:F556"/>
    <mergeCell ref="A557:F557"/>
    <mergeCell ref="A558:F558"/>
    <mergeCell ref="A559:F559"/>
    <mergeCell ref="A560:G560"/>
    <mergeCell ref="A561:G561"/>
    <mergeCell ref="B562:F562"/>
    <mergeCell ref="A621:G621"/>
    <mergeCell ref="A622:F622"/>
    <mergeCell ref="B575:F575"/>
    <mergeCell ref="A624:F624"/>
    <mergeCell ref="A625:F625"/>
    <mergeCell ref="A628:G629"/>
    <mergeCell ref="A630:G630"/>
    <mergeCell ref="A631:G631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horizontalDpi="300" verticalDpi="300" r:id="rId1"/>
  <headerFooter>
    <oddHeader>&amp;L&amp;G</oddHeader>
    <oddFooter>&amp;C&amp;G</oddFooter>
  </headerFooter>
  <ignoredErrors>
    <ignoredError sqref="G565" formula="1"/>
  </ignoredError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0"/>
  <sheetViews>
    <sheetView zoomScale="80" zoomScaleNormal="80" workbookViewId="0">
      <selection activeCell="K66" sqref="K66"/>
    </sheetView>
  </sheetViews>
  <sheetFormatPr baseColWidth="10" defaultRowHeight="14.4" outlineLevelRow="1"/>
  <cols>
    <col min="1" max="1" width="5.21875" style="127" bestFit="1" customWidth="1"/>
    <col min="2" max="2" width="45.88671875" style="127" bestFit="1" customWidth="1"/>
    <col min="3" max="3" width="7" style="128" bestFit="1" customWidth="1"/>
    <col min="4" max="4" width="12.6640625" style="128" bestFit="1" customWidth="1"/>
    <col min="5" max="5" width="8.6640625" style="128" bestFit="1" customWidth="1"/>
    <col min="6" max="6" width="12.21875" style="127" bestFit="1" customWidth="1"/>
    <col min="7" max="7" width="14.109375" style="127" bestFit="1" customWidth="1"/>
    <col min="8" max="8" width="11.5546875" style="127"/>
    <col min="9" max="9" width="25.44140625" style="130" customWidth="1"/>
    <col min="10" max="10" width="13.33203125" style="127" bestFit="1" customWidth="1"/>
    <col min="11" max="11" width="14.6640625" style="127" bestFit="1" customWidth="1"/>
    <col min="12" max="12" width="13" style="127" bestFit="1" customWidth="1"/>
    <col min="13" max="13" width="17" style="130" customWidth="1"/>
    <col min="14" max="14" width="12" style="127" bestFit="1" customWidth="1"/>
    <col min="15" max="15" width="13.33203125" style="127" bestFit="1" customWidth="1"/>
    <col min="16" max="16" width="13.5546875" style="127" bestFit="1" customWidth="1"/>
    <col min="17" max="16384" width="11.5546875" style="127"/>
  </cols>
  <sheetData>
    <row r="2" spans="1:16" ht="17.399999999999999">
      <c r="A2" s="592" t="s">
        <v>214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</row>
    <row r="4" spans="1:16" ht="25.2">
      <c r="I4" s="129" t="s">
        <v>20</v>
      </c>
      <c r="J4" s="129" t="s">
        <v>21</v>
      </c>
      <c r="K4" s="129" t="s">
        <v>22</v>
      </c>
      <c r="L4" s="129" t="s">
        <v>23</v>
      </c>
      <c r="M4" s="129" t="s">
        <v>215</v>
      </c>
      <c r="N4" s="129" t="s">
        <v>25</v>
      </c>
    </row>
    <row r="5" spans="1:16">
      <c r="J5" s="131">
        <v>0.1</v>
      </c>
      <c r="K5" s="131">
        <v>0.02</v>
      </c>
      <c r="L5" s="130"/>
      <c r="M5" s="129">
        <v>1.35</v>
      </c>
      <c r="N5" s="130"/>
    </row>
    <row r="6" spans="1:16">
      <c r="I6" s="132"/>
      <c r="J6" s="132"/>
      <c r="K6" s="132"/>
      <c r="L6" s="132"/>
      <c r="M6" s="133"/>
      <c r="N6" s="132"/>
    </row>
    <row r="7" spans="1:16">
      <c r="I7" s="134">
        <f>SUM(G12:G58)/$E11</f>
        <v>1193956.4879807692</v>
      </c>
      <c r="J7" s="134">
        <f>I7*$J$5</f>
        <v>119395.64879807693</v>
      </c>
      <c r="K7" s="134">
        <f>I7*$K$5</f>
        <v>23879.129759615385</v>
      </c>
      <c r="L7" s="134">
        <f>SUM(I7:K7)</f>
        <v>1337231.2665384614</v>
      </c>
      <c r="M7" s="135">
        <f>L7*$M$5</f>
        <v>1805262.209826923</v>
      </c>
      <c r="N7" s="134">
        <f t="shared" ref="N7" si="0">M7-L7</f>
        <v>468030.94328846154</v>
      </c>
    </row>
    <row r="8" spans="1:16" ht="15" thickBot="1">
      <c r="I8" s="134"/>
      <c r="J8" s="134"/>
      <c r="K8" s="134"/>
      <c r="L8" s="134"/>
      <c r="M8" s="135"/>
      <c r="N8" s="134"/>
    </row>
    <row r="9" spans="1:16" ht="15" thickTop="1">
      <c r="A9" s="593" t="s">
        <v>216</v>
      </c>
      <c r="B9" s="594"/>
      <c r="C9" s="594"/>
      <c r="D9" s="594"/>
      <c r="E9" s="594"/>
      <c r="F9" s="594"/>
      <c r="G9" s="595"/>
      <c r="I9" s="596" t="s">
        <v>217</v>
      </c>
      <c r="J9" s="597"/>
      <c r="K9" s="134"/>
      <c r="L9" s="134"/>
      <c r="M9" s="135"/>
      <c r="N9" s="134"/>
    </row>
    <row r="10" spans="1:16" ht="15" thickBot="1">
      <c r="A10" s="136" t="s">
        <v>218</v>
      </c>
      <c r="B10" s="137" t="s">
        <v>14</v>
      </c>
      <c r="C10" s="138" t="s">
        <v>56</v>
      </c>
      <c r="D10" s="138" t="s">
        <v>219</v>
      </c>
      <c r="E10" s="138" t="s">
        <v>220</v>
      </c>
      <c r="F10" s="137" t="s">
        <v>18</v>
      </c>
      <c r="G10" s="139" t="s">
        <v>221</v>
      </c>
      <c r="I10" s="218" t="s">
        <v>222</v>
      </c>
      <c r="J10" s="140" t="s">
        <v>223</v>
      </c>
    </row>
    <row r="11" spans="1:16" s="3" customFormat="1" ht="15" thickTop="1" thickBot="1">
      <c r="A11" s="141">
        <v>1</v>
      </c>
      <c r="B11" s="142" t="s">
        <v>224</v>
      </c>
      <c r="C11" s="143" t="s">
        <v>111</v>
      </c>
      <c r="D11" s="143"/>
      <c r="E11" s="143">
        <v>12</v>
      </c>
      <c r="F11" s="144">
        <v>420000</v>
      </c>
      <c r="G11" s="145">
        <v>5040000</v>
      </c>
      <c r="I11" s="219">
        <f>+MROUND(M7,10)</f>
        <v>1805260</v>
      </c>
      <c r="J11" s="146">
        <f>+I11*E11</f>
        <v>21663120</v>
      </c>
      <c r="K11" s="147"/>
      <c r="L11" s="147"/>
      <c r="M11" s="220"/>
      <c r="N11" s="147"/>
    </row>
    <row r="12" spans="1:16" s="153" customFormat="1" ht="13.8" outlineLevel="1" thickTop="1">
      <c r="A12" s="148"/>
      <c r="B12" s="149" t="s">
        <v>225</v>
      </c>
      <c r="C12" s="150"/>
      <c r="D12" s="150"/>
      <c r="E12" s="150"/>
      <c r="F12" s="151"/>
      <c r="G12" s="152"/>
      <c r="I12" s="220"/>
      <c r="J12" s="147"/>
      <c r="K12" s="147"/>
      <c r="L12" s="147"/>
      <c r="M12" s="220"/>
      <c r="N12" s="147"/>
    </row>
    <row r="13" spans="1:16" s="153" customFormat="1" ht="13.2" outlineLevel="1">
      <c r="A13" s="148"/>
      <c r="B13" s="149" t="s">
        <v>226</v>
      </c>
      <c r="C13" s="150" t="s">
        <v>65</v>
      </c>
      <c r="D13" s="150">
        <v>1</v>
      </c>
      <c r="E13" s="150">
        <f>(9*17+13*5.6)/2*3.5</f>
        <v>395.15000000000003</v>
      </c>
      <c r="F13" s="151"/>
      <c r="G13" s="152"/>
      <c r="I13" s="220"/>
      <c r="J13" s="147"/>
      <c r="K13" s="147"/>
      <c r="L13" s="147"/>
      <c r="M13" s="220"/>
      <c r="N13" s="147"/>
    </row>
    <row r="14" spans="1:16" s="153" customFormat="1" ht="13.2" outlineLevel="1">
      <c r="A14" s="148"/>
      <c r="B14" s="154" t="s">
        <v>227</v>
      </c>
      <c r="C14" s="150" t="s">
        <v>31</v>
      </c>
      <c r="D14" s="150">
        <f>E13/400</f>
        <v>0.98787500000000006</v>
      </c>
      <c r="E14" s="150">
        <v>1</v>
      </c>
      <c r="F14" s="151">
        <f t="shared" ref="F14:F17" si="1">7500000/26</f>
        <v>288461.53846153844</v>
      </c>
      <c r="G14" s="152">
        <f t="shared" ref="G14:G15" si="2">F14*E14*D14</f>
        <v>284963.94230769231</v>
      </c>
      <c r="I14" s="220"/>
      <c r="J14" s="147"/>
      <c r="K14" s="147"/>
      <c r="L14" s="147"/>
      <c r="M14" s="220"/>
      <c r="N14" s="147"/>
    </row>
    <row r="15" spans="1:16" s="153" customFormat="1" ht="13.2" outlineLevel="1">
      <c r="A15" s="148"/>
      <c r="B15" s="154" t="s">
        <v>228</v>
      </c>
      <c r="C15" s="150" t="s">
        <v>31</v>
      </c>
      <c r="D15" s="150">
        <f>100*D14</f>
        <v>98.787500000000009</v>
      </c>
      <c r="E15" s="150">
        <v>1</v>
      </c>
      <c r="F15" s="151">
        <v>1050</v>
      </c>
      <c r="G15" s="152">
        <f t="shared" si="2"/>
        <v>103726.87500000001</v>
      </c>
      <c r="I15" s="221"/>
      <c r="M15" s="221"/>
    </row>
    <row r="16" spans="1:16" s="153" customFormat="1" ht="13.2" outlineLevel="1">
      <c r="A16" s="148"/>
      <c r="B16" s="149" t="s">
        <v>229</v>
      </c>
      <c r="C16" s="150" t="s">
        <v>65</v>
      </c>
      <c r="D16" s="150">
        <v>1</v>
      </c>
      <c r="E16" s="150">
        <f>17*9*1</f>
        <v>153</v>
      </c>
      <c r="F16" s="151"/>
      <c r="G16" s="152"/>
      <c r="I16" s="221"/>
      <c r="M16" s="221"/>
    </row>
    <row r="17" spans="1:14" s="153" customFormat="1" ht="13.2" outlineLevel="1">
      <c r="A17" s="148"/>
      <c r="B17" s="154" t="s">
        <v>230</v>
      </c>
      <c r="C17" s="150" t="s">
        <v>31</v>
      </c>
      <c r="D17" s="150">
        <f>E16/400</f>
        <v>0.38250000000000001</v>
      </c>
      <c r="E17" s="150">
        <v>1</v>
      </c>
      <c r="F17" s="151">
        <f t="shared" si="1"/>
        <v>288461.53846153844</v>
      </c>
      <c r="G17" s="152">
        <f t="shared" ref="G17:G22" si="3">F17*E17*D17</f>
        <v>110336.53846153845</v>
      </c>
      <c r="I17" s="221"/>
      <c r="M17" s="221"/>
    </row>
    <row r="18" spans="1:14" s="153" customFormat="1" ht="13.2" outlineLevel="1">
      <c r="A18" s="148"/>
      <c r="B18" s="154" t="s">
        <v>228</v>
      </c>
      <c r="C18" s="150" t="s">
        <v>31</v>
      </c>
      <c r="D18" s="150">
        <f>100*D17</f>
        <v>38.25</v>
      </c>
      <c r="E18" s="150">
        <v>1</v>
      </c>
      <c r="F18" s="151">
        <v>1050</v>
      </c>
      <c r="G18" s="152">
        <f t="shared" si="3"/>
        <v>40162.5</v>
      </c>
      <c r="I18" s="221"/>
      <c r="M18" s="221"/>
    </row>
    <row r="19" spans="1:14" s="153" customFormat="1" ht="13.2" outlineLevel="1">
      <c r="A19" s="148"/>
      <c r="B19" s="149" t="s">
        <v>231</v>
      </c>
      <c r="C19" s="150" t="s">
        <v>31</v>
      </c>
      <c r="D19" s="150"/>
      <c r="E19" s="150">
        <v>1</v>
      </c>
      <c r="F19" s="151">
        <f>7500000/26</f>
        <v>288461.53846153844</v>
      </c>
      <c r="G19" s="152">
        <f t="shared" si="3"/>
        <v>0</v>
      </c>
      <c r="I19" s="221"/>
      <c r="M19" s="221"/>
    </row>
    <row r="20" spans="1:14" s="153" customFormat="1" ht="13.2" outlineLevel="1">
      <c r="A20" s="148"/>
      <c r="B20" s="149" t="s">
        <v>225</v>
      </c>
      <c r="C20" s="150"/>
      <c r="D20" s="150"/>
      <c r="E20" s="150"/>
      <c r="F20" s="151"/>
      <c r="G20" s="152">
        <f t="shared" si="3"/>
        <v>0</v>
      </c>
      <c r="I20" s="221"/>
      <c r="M20" s="221"/>
    </row>
    <row r="21" spans="1:14" s="153" customFormat="1" ht="13.2" outlineLevel="1">
      <c r="A21" s="148"/>
      <c r="B21" s="149" t="s">
        <v>225</v>
      </c>
      <c r="C21" s="150"/>
      <c r="D21" s="150"/>
      <c r="E21" s="150"/>
      <c r="F21" s="151"/>
      <c r="G21" s="152">
        <f t="shared" si="3"/>
        <v>0</v>
      </c>
      <c r="I21" s="221"/>
      <c r="M21" s="221"/>
    </row>
    <row r="22" spans="1:14" s="153" customFormat="1" ht="13.2" outlineLevel="1">
      <c r="A22" s="148"/>
      <c r="B22" s="149" t="s">
        <v>225</v>
      </c>
      <c r="C22" s="150"/>
      <c r="D22" s="150"/>
      <c r="E22" s="150"/>
      <c r="F22" s="151"/>
      <c r="G22" s="152">
        <f t="shared" si="3"/>
        <v>0</v>
      </c>
      <c r="I22" s="221"/>
      <c r="M22" s="221"/>
    </row>
    <row r="23" spans="1:14" s="153" customFormat="1" ht="13.2" outlineLevel="1">
      <c r="A23" s="148"/>
      <c r="B23" s="149" t="s">
        <v>232</v>
      </c>
      <c r="C23" s="150" t="s">
        <v>233</v>
      </c>
      <c r="D23" s="150">
        <f>1.85</f>
        <v>1.85</v>
      </c>
      <c r="E23" s="150">
        <f>(13*5.6*0.1)</f>
        <v>7.28</v>
      </c>
      <c r="F23" s="151">
        <v>22000</v>
      </c>
      <c r="G23" s="152">
        <f>F23*E23*D23</f>
        <v>296296</v>
      </c>
      <c r="I23" s="221"/>
      <c r="M23" s="221"/>
    </row>
    <row r="24" spans="1:14" s="153" customFormat="1" ht="13.2" outlineLevel="1">
      <c r="A24" s="148"/>
      <c r="B24" s="149"/>
      <c r="C24" s="150"/>
      <c r="D24" s="150"/>
      <c r="E24" s="150"/>
      <c r="F24" s="151"/>
      <c r="G24" s="152"/>
      <c r="I24" s="221"/>
      <c r="M24" s="221"/>
    </row>
    <row r="25" spans="1:14" s="153" customFormat="1" ht="13.2" outlineLevel="1">
      <c r="A25" s="148"/>
      <c r="B25" s="149" t="s">
        <v>234</v>
      </c>
      <c r="C25" s="150" t="s">
        <v>65</v>
      </c>
      <c r="D25" s="150">
        <v>1</v>
      </c>
      <c r="E25" s="150">
        <f>13*5.6*0.1</f>
        <v>7.28</v>
      </c>
      <c r="F25" s="151">
        <v>100000</v>
      </c>
      <c r="G25" s="152">
        <f>F25*E25*D25</f>
        <v>728000</v>
      </c>
      <c r="I25" s="221"/>
      <c r="M25" s="221"/>
    </row>
    <row r="26" spans="1:14" s="153" customFormat="1" ht="13.2" outlineLevel="1">
      <c r="A26" s="148"/>
      <c r="B26" s="149" t="s">
        <v>235</v>
      </c>
      <c r="C26" s="150" t="s">
        <v>82</v>
      </c>
      <c r="D26" s="150">
        <v>1</v>
      </c>
      <c r="E26" s="150">
        <f>MROUND(SUM(E27:E28)/1080,0.0005)</f>
        <v>0.188</v>
      </c>
      <c r="F26" s="151">
        <f>1050000</f>
        <v>1050000</v>
      </c>
      <c r="G26" s="152">
        <f>F26*E26*D26</f>
        <v>197400</v>
      </c>
      <c r="I26" s="221"/>
      <c r="M26" s="221"/>
    </row>
    <row r="27" spans="1:14" s="153" customFormat="1" ht="13.2" outlineLevel="1">
      <c r="A27" s="148"/>
      <c r="B27" s="149" t="s">
        <v>236</v>
      </c>
      <c r="C27" s="150" t="s">
        <v>43</v>
      </c>
      <c r="D27" s="150">
        <v>1</v>
      </c>
      <c r="E27" s="150">
        <f>13*5.6</f>
        <v>72.8</v>
      </c>
      <c r="F27" s="151"/>
      <c r="G27" s="152"/>
      <c r="I27" s="221"/>
      <c r="M27" s="221"/>
    </row>
    <row r="28" spans="1:14" s="153" customFormat="1" ht="13.2" outlineLevel="1">
      <c r="A28" s="148"/>
      <c r="B28" s="149" t="s">
        <v>237</v>
      </c>
      <c r="C28" s="150" t="s">
        <v>43</v>
      </c>
      <c r="D28" s="150">
        <v>1</v>
      </c>
      <c r="E28" s="150">
        <f>(2.2*2+0.5*2+4.6)*13</f>
        <v>130</v>
      </c>
      <c r="F28" s="151"/>
      <c r="G28" s="152"/>
      <c r="I28" s="221"/>
      <c r="M28" s="221"/>
    </row>
    <row r="29" spans="1:14" s="153" customFormat="1" ht="13.2" outlineLevel="1">
      <c r="A29" s="148"/>
      <c r="B29" s="149" t="s">
        <v>238</v>
      </c>
      <c r="C29" s="150" t="s">
        <v>94</v>
      </c>
      <c r="D29" s="150">
        <v>1</v>
      </c>
      <c r="E29" s="150">
        <f>MROUND(SUM(E27:E28)*0.4,0.0005)</f>
        <v>81.12</v>
      </c>
      <c r="F29" s="151"/>
      <c r="G29" s="152"/>
      <c r="I29" s="221"/>
      <c r="M29" s="221"/>
    </row>
    <row r="30" spans="1:14" s="153" customFormat="1" ht="13.2" outlineLevel="1">
      <c r="A30" s="148"/>
      <c r="B30" s="149" t="s">
        <v>239</v>
      </c>
      <c r="C30" s="150" t="s">
        <v>31</v>
      </c>
      <c r="D30" s="150">
        <v>1</v>
      </c>
      <c r="E30" s="150">
        <f>ROUNDUP(E29/25,0)</f>
        <v>4</v>
      </c>
      <c r="F30" s="151">
        <v>45000</v>
      </c>
      <c r="G30" s="152">
        <f>F30*E30*D30</f>
        <v>180000</v>
      </c>
      <c r="I30" s="221"/>
      <c r="M30" s="221"/>
    </row>
    <row r="31" spans="1:14" s="153" customFormat="1" ht="13.2" outlineLevel="1">
      <c r="A31" s="148"/>
      <c r="B31" s="155" t="s">
        <v>240</v>
      </c>
      <c r="C31" s="150"/>
      <c r="D31" s="150"/>
      <c r="E31" s="150"/>
      <c r="F31" s="151"/>
      <c r="G31" s="152"/>
      <c r="I31" s="221"/>
      <c r="M31" s="221"/>
    </row>
    <row r="32" spans="1:14" s="153" customFormat="1" ht="13.2" outlineLevel="1">
      <c r="A32" s="148"/>
      <c r="B32" s="149" t="s">
        <v>241</v>
      </c>
      <c r="C32" s="150" t="s">
        <v>65</v>
      </c>
      <c r="D32" s="150">
        <v>1</v>
      </c>
      <c r="E32" s="150">
        <f>4.6*12*0.2</f>
        <v>11.04</v>
      </c>
      <c r="F32" s="151">
        <v>120000</v>
      </c>
      <c r="G32" s="152">
        <f t="shared" ref="G32:G57" si="4">F32*E32*D32</f>
        <v>1324800</v>
      </c>
      <c r="I32" s="222" t="s">
        <v>242</v>
      </c>
      <c r="J32" s="156" t="s">
        <v>243</v>
      </c>
      <c r="K32" s="156" t="s">
        <v>244</v>
      </c>
      <c r="L32" s="156" t="s">
        <v>245</v>
      </c>
      <c r="M32" s="220" t="s">
        <v>132</v>
      </c>
      <c r="N32" s="147"/>
    </row>
    <row r="33" spans="1:14" s="153" customFormat="1" ht="13.2" outlineLevel="1">
      <c r="A33" s="148"/>
      <c r="B33" s="149" t="s">
        <v>246</v>
      </c>
      <c r="C33" s="150" t="s">
        <v>94</v>
      </c>
      <c r="D33" s="150">
        <v>1</v>
      </c>
      <c r="E33" s="150">
        <f>82*E32</f>
        <v>905.28</v>
      </c>
      <c r="F33" s="151">
        <f>700</f>
        <v>700</v>
      </c>
      <c r="G33" s="152">
        <f t="shared" si="4"/>
        <v>633696</v>
      </c>
      <c r="I33" s="220" t="s">
        <v>248</v>
      </c>
      <c r="J33" s="147">
        <f>SUM(G35:G37)</f>
        <v>62660</v>
      </c>
      <c r="K33" s="147">
        <f>J33/E32</f>
        <v>5675.7246376811599</v>
      </c>
      <c r="L33" s="208">
        <f>E34</f>
        <v>6.6400000000000006</v>
      </c>
      <c r="M33" s="220">
        <f>E32+E39+E45</f>
        <v>35.04</v>
      </c>
      <c r="N33" s="147"/>
    </row>
    <row r="34" spans="1:14" s="153" customFormat="1" ht="13.2" outlineLevel="1">
      <c r="A34" s="148"/>
      <c r="B34" s="149" t="s">
        <v>133</v>
      </c>
      <c r="C34" s="150" t="s">
        <v>43</v>
      </c>
      <c r="D34" s="150">
        <v>1</v>
      </c>
      <c r="E34" s="150">
        <f>(12+4.6)*2*0.2</f>
        <v>6.6400000000000006</v>
      </c>
      <c r="F34" s="151"/>
      <c r="G34" s="152"/>
      <c r="I34" s="220" t="s">
        <v>247</v>
      </c>
      <c r="J34" s="147">
        <f>SUM(G42:G43)</f>
        <v>362940</v>
      </c>
      <c r="K34" s="147">
        <f>J34/E39</f>
        <v>28004.629629629628</v>
      </c>
      <c r="L34" s="208">
        <f>E41</f>
        <v>131.76</v>
      </c>
      <c r="M34" s="220"/>
      <c r="N34" s="147"/>
    </row>
    <row r="35" spans="1:14" s="153" customFormat="1" ht="13.2" outlineLevel="1">
      <c r="A35" s="148"/>
      <c r="B35" s="149" t="s">
        <v>249</v>
      </c>
      <c r="C35" s="150" t="s">
        <v>31</v>
      </c>
      <c r="D35" s="150">
        <f>1/3</f>
        <v>0.33333333333333331</v>
      </c>
      <c r="E35" s="150">
        <f>ROUNDUP(E34/3.05,0)</f>
        <v>3</v>
      </c>
      <c r="F35" s="151">
        <v>22500</v>
      </c>
      <c r="G35" s="152">
        <f t="shared" si="4"/>
        <v>22500</v>
      </c>
      <c r="I35" s="220" t="s">
        <v>250</v>
      </c>
      <c r="J35" s="147">
        <f>SUM(G48:G50)</f>
        <v>909960</v>
      </c>
      <c r="K35" s="147">
        <f>J35/E47</f>
        <v>8284.4136926438459</v>
      </c>
      <c r="L35" s="208">
        <f>E47</f>
        <v>109.83999999999999</v>
      </c>
      <c r="M35" s="220"/>
      <c r="N35" s="147"/>
    </row>
    <row r="36" spans="1:14" s="153" customFormat="1" ht="13.2" outlineLevel="1">
      <c r="A36" s="148"/>
      <c r="B36" s="149" t="s">
        <v>251</v>
      </c>
      <c r="C36" s="150" t="s">
        <v>94</v>
      </c>
      <c r="D36" s="150">
        <v>1</v>
      </c>
      <c r="E36" s="150">
        <f>0.2*E34</f>
        <v>1.3280000000000003</v>
      </c>
      <c r="F36" s="151">
        <f>1250</f>
        <v>1250</v>
      </c>
      <c r="G36" s="152">
        <f t="shared" si="4"/>
        <v>1660.0000000000005</v>
      </c>
      <c r="I36" s="221"/>
      <c r="J36" s="156">
        <f>SUM(J33:J35)</f>
        <v>1335560</v>
      </c>
      <c r="K36" s="156">
        <f>AVERAGE(K33:K35)</f>
        <v>13988.255986651544</v>
      </c>
      <c r="L36" s="156">
        <f t="shared" ref="L36" si="5">SUM(L33:L35)</f>
        <v>248.23999999999995</v>
      </c>
      <c r="M36" s="220"/>
      <c r="N36" s="147"/>
    </row>
    <row r="37" spans="1:14" s="153" customFormat="1" ht="13.2" outlineLevel="1">
      <c r="A37" s="148"/>
      <c r="B37" s="149" t="s">
        <v>252</v>
      </c>
      <c r="C37" s="150" t="s">
        <v>31</v>
      </c>
      <c r="D37" s="150">
        <v>1</v>
      </c>
      <c r="E37" s="150">
        <f>ROUNDUP(E34/1,0)</f>
        <v>7</v>
      </c>
      <c r="F37" s="151">
        <f>5500</f>
        <v>5500</v>
      </c>
      <c r="G37" s="152">
        <f t="shared" si="4"/>
        <v>38500</v>
      </c>
      <c r="I37" s="241">
        <f>E33/E32</f>
        <v>82</v>
      </c>
      <c r="J37" s="147"/>
      <c r="K37" s="156"/>
      <c r="L37" s="147"/>
      <c r="M37" s="220"/>
      <c r="N37" s="147"/>
    </row>
    <row r="38" spans="1:14" s="153" customFormat="1" ht="13.2" outlineLevel="1">
      <c r="A38" s="148"/>
      <c r="B38" s="155" t="s">
        <v>253</v>
      </c>
      <c r="C38" s="150"/>
      <c r="D38" s="150"/>
      <c r="E38" s="150"/>
      <c r="F38" s="151"/>
      <c r="G38" s="152"/>
      <c r="I38" s="242"/>
      <c r="J38" s="147"/>
      <c r="K38" s="147"/>
      <c r="L38" s="147"/>
      <c r="M38" s="220"/>
      <c r="N38" s="147"/>
    </row>
    <row r="39" spans="1:14" s="153" customFormat="1" ht="13.2" outlineLevel="1">
      <c r="A39" s="148"/>
      <c r="B39" s="149" t="s">
        <v>254</v>
      </c>
      <c r="C39" s="150" t="s">
        <v>65</v>
      </c>
      <c r="D39" s="150">
        <v>1</v>
      </c>
      <c r="E39" s="150">
        <f>(1.8*0.2*E11)*3</f>
        <v>12.96</v>
      </c>
      <c r="F39" s="151">
        <v>120000</v>
      </c>
      <c r="G39" s="152">
        <f t="shared" si="4"/>
        <v>1555200</v>
      </c>
      <c r="I39" s="242"/>
      <c r="J39" s="147"/>
      <c r="K39" s="147"/>
      <c r="L39" s="147"/>
      <c r="M39" s="220"/>
      <c r="N39" s="147"/>
    </row>
    <row r="40" spans="1:14" s="153" customFormat="1" ht="13.2" outlineLevel="1">
      <c r="A40" s="148"/>
      <c r="B40" s="149" t="s">
        <v>246</v>
      </c>
      <c r="C40" s="150" t="s">
        <v>94</v>
      </c>
      <c r="D40" s="150">
        <v>1</v>
      </c>
      <c r="E40" s="150">
        <f>E39*82</f>
        <v>1062.72</v>
      </c>
      <c r="F40" s="151">
        <v>700</v>
      </c>
      <c r="G40" s="152">
        <f t="shared" si="4"/>
        <v>743904</v>
      </c>
      <c r="I40" s="241">
        <f>E40/E39</f>
        <v>82</v>
      </c>
      <c r="J40" s="147"/>
      <c r="K40" s="147"/>
      <c r="L40" s="147"/>
      <c r="M40" s="220"/>
      <c r="N40" s="147"/>
    </row>
    <row r="41" spans="1:14" s="153" customFormat="1" ht="13.2" outlineLevel="1">
      <c r="A41" s="148"/>
      <c r="B41" s="149" t="s">
        <v>133</v>
      </c>
      <c r="C41" s="150" t="s">
        <v>43</v>
      </c>
      <c r="D41" s="150">
        <v>1</v>
      </c>
      <c r="E41" s="150">
        <f>(1.8*12*2+1.8*0.2*2)*3</f>
        <v>131.76</v>
      </c>
      <c r="F41" s="151"/>
      <c r="G41" s="152"/>
      <c r="I41" s="242"/>
      <c r="J41" s="147"/>
      <c r="K41" s="147"/>
      <c r="L41" s="147"/>
      <c r="M41" s="220"/>
      <c r="N41" s="147"/>
    </row>
    <row r="42" spans="1:14" s="153" customFormat="1" ht="13.2" outlineLevel="1">
      <c r="A42" s="148"/>
      <c r="B42" s="149" t="s">
        <v>249</v>
      </c>
      <c r="C42" s="150" t="s">
        <v>43</v>
      </c>
      <c r="D42" s="150">
        <f>1/3</f>
        <v>0.33333333333333331</v>
      </c>
      <c r="E42" s="150">
        <f>ROUNDUP(E41/3.05,0)</f>
        <v>44</v>
      </c>
      <c r="F42" s="151">
        <v>22500</v>
      </c>
      <c r="G42" s="152">
        <f t="shared" si="4"/>
        <v>330000</v>
      </c>
      <c r="I42" s="242"/>
      <c r="J42" s="147"/>
      <c r="K42" s="147"/>
      <c r="L42" s="147"/>
      <c r="M42" s="220"/>
      <c r="N42" s="147"/>
    </row>
    <row r="43" spans="1:14" s="153" customFormat="1" ht="13.2" outlineLevel="1">
      <c r="A43" s="148"/>
      <c r="B43" s="149" t="s">
        <v>251</v>
      </c>
      <c r="C43" s="150" t="s">
        <v>94</v>
      </c>
      <c r="D43" s="150">
        <v>1</v>
      </c>
      <c r="E43" s="150">
        <f>E41*0.2</f>
        <v>26.352</v>
      </c>
      <c r="F43" s="151">
        <v>1250</v>
      </c>
      <c r="G43" s="152">
        <f t="shared" si="4"/>
        <v>32940</v>
      </c>
      <c r="I43" s="242"/>
      <c r="J43" s="147"/>
      <c r="K43" s="147"/>
      <c r="L43" s="147"/>
      <c r="M43" s="220"/>
      <c r="N43" s="147"/>
    </row>
    <row r="44" spans="1:14" s="153" customFormat="1" ht="13.2" outlineLevel="1">
      <c r="A44" s="148"/>
      <c r="B44" s="155" t="s">
        <v>255</v>
      </c>
      <c r="C44" s="150"/>
      <c r="D44" s="150"/>
      <c r="E44" s="150"/>
      <c r="F44" s="151"/>
      <c r="G44" s="152">
        <f t="shared" si="4"/>
        <v>0</v>
      </c>
      <c r="I44" s="242"/>
      <c r="J44" s="147"/>
      <c r="K44" s="147"/>
      <c r="L44" s="147"/>
      <c r="M44" s="220"/>
      <c r="N44" s="147"/>
    </row>
    <row r="45" spans="1:14" s="153" customFormat="1" ht="13.2" outlineLevel="1">
      <c r="A45" s="148"/>
      <c r="B45" s="149" t="s">
        <v>241</v>
      </c>
      <c r="C45" s="150" t="s">
        <v>65</v>
      </c>
      <c r="D45" s="150">
        <v>1</v>
      </c>
      <c r="E45" s="150">
        <f>4.6*12*0.2</f>
        <v>11.04</v>
      </c>
      <c r="F45" s="151">
        <v>120000</v>
      </c>
      <c r="G45" s="152">
        <f t="shared" si="4"/>
        <v>1324800</v>
      </c>
      <c r="I45" s="242"/>
      <c r="J45" s="147"/>
      <c r="K45" s="147"/>
      <c r="L45" s="147"/>
      <c r="M45" s="220"/>
      <c r="N45" s="147"/>
    </row>
    <row r="46" spans="1:14" s="153" customFormat="1" ht="13.2" outlineLevel="1">
      <c r="A46" s="148"/>
      <c r="B46" s="149" t="s">
        <v>246</v>
      </c>
      <c r="C46" s="150" t="s">
        <v>94</v>
      </c>
      <c r="D46" s="150">
        <v>1</v>
      </c>
      <c r="E46" s="150">
        <f>82*E45</f>
        <v>905.28</v>
      </c>
      <c r="F46" s="151">
        <f>700</f>
        <v>700</v>
      </c>
      <c r="G46" s="152">
        <f t="shared" si="4"/>
        <v>633696</v>
      </c>
      <c r="I46" s="241">
        <f>E46/E45</f>
        <v>82</v>
      </c>
      <c r="J46" s="147"/>
      <c r="K46" s="147"/>
      <c r="L46" s="147"/>
      <c r="M46" s="220"/>
      <c r="N46" s="147"/>
    </row>
    <row r="47" spans="1:14" s="153" customFormat="1" ht="13.2" outlineLevel="1">
      <c r="A47" s="148"/>
      <c r="B47" s="149" t="s">
        <v>133</v>
      </c>
      <c r="C47" s="150" t="s">
        <v>43</v>
      </c>
      <c r="D47" s="150">
        <v>1</v>
      </c>
      <c r="E47" s="150">
        <f>12*4.6+2*(12*2)+33.2*0.2</f>
        <v>109.83999999999999</v>
      </c>
      <c r="F47" s="151"/>
      <c r="G47" s="152"/>
      <c r="I47" s="220"/>
      <c r="J47" s="147"/>
      <c r="K47" s="147"/>
      <c r="L47" s="147"/>
      <c r="M47" s="220"/>
      <c r="N47" s="147"/>
    </row>
    <row r="48" spans="1:14" s="153" customFormat="1" ht="13.2" outlineLevel="1">
      <c r="A48" s="148"/>
      <c r="B48" s="149" t="s">
        <v>249</v>
      </c>
      <c r="C48" s="150" t="s">
        <v>31</v>
      </c>
      <c r="D48" s="150">
        <f>1/3</f>
        <v>0.33333333333333331</v>
      </c>
      <c r="E48" s="150">
        <f>ROUNDUP(E47/3.05,0)</f>
        <v>37</v>
      </c>
      <c r="F48" s="151">
        <v>22500</v>
      </c>
      <c r="G48" s="152">
        <f t="shared" ref="G48:G50" si="6">F48*E48*D48</f>
        <v>277500</v>
      </c>
      <c r="I48" s="220"/>
      <c r="J48" s="147"/>
      <c r="K48" s="147"/>
      <c r="L48" s="147"/>
      <c r="M48" s="220"/>
      <c r="N48" s="147"/>
    </row>
    <row r="49" spans="1:16" s="153" customFormat="1" ht="13.2" outlineLevel="1">
      <c r="A49" s="148"/>
      <c r="B49" s="149" t="s">
        <v>251</v>
      </c>
      <c r="C49" s="150" t="s">
        <v>94</v>
      </c>
      <c r="D49" s="150">
        <v>1</v>
      </c>
      <c r="E49" s="150">
        <f>0.2*E47</f>
        <v>21.968</v>
      </c>
      <c r="F49" s="151">
        <f>1250</f>
        <v>1250</v>
      </c>
      <c r="G49" s="152">
        <f t="shared" si="6"/>
        <v>27460</v>
      </c>
      <c r="I49" s="220"/>
      <c r="J49" s="147"/>
      <c r="K49" s="147"/>
      <c r="L49" s="147"/>
      <c r="M49" s="220"/>
      <c r="N49" s="147"/>
    </row>
    <row r="50" spans="1:16" s="153" customFormat="1" ht="13.2" outlineLevel="1">
      <c r="A50" s="148"/>
      <c r="B50" s="149" t="s">
        <v>252</v>
      </c>
      <c r="C50" s="150" t="s">
        <v>31</v>
      </c>
      <c r="D50" s="150">
        <v>1</v>
      </c>
      <c r="E50" s="150">
        <f>ROUNDUP(E47/1,0)</f>
        <v>110</v>
      </c>
      <c r="F50" s="151">
        <f>5500</f>
        <v>5500</v>
      </c>
      <c r="G50" s="152">
        <f t="shared" si="6"/>
        <v>605000</v>
      </c>
      <c r="I50" s="220"/>
      <c r="J50" s="147"/>
      <c r="K50" s="147"/>
      <c r="L50" s="147"/>
      <c r="M50" s="220"/>
      <c r="N50" s="147"/>
    </row>
    <row r="51" spans="1:16" s="153" customFormat="1" ht="13.2" outlineLevel="1">
      <c r="A51" s="148"/>
      <c r="B51" s="157" t="s">
        <v>256</v>
      </c>
      <c r="C51" s="150" t="s">
        <v>65</v>
      </c>
      <c r="D51" s="150">
        <v>1</v>
      </c>
      <c r="E51" s="150">
        <f>SUM(E32,E39,E45)</f>
        <v>35.04</v>
      </c>
      <c r="F51" s="151"/>
      <c r="G51" s="152"/>
      <c r="I51" s="220"/>
      <c r="J51" s="147"/>
      <c r="K51" s="147"/>
      <c r="L51" s="147"/>
      <c r="M51" s="220"/>
      <c r="N51" s="147"/>
    </row>
    <row r="52" spans="1:16" s="153" customFormat="1" ht="13.2" outlineLevel="1">
      <c r="A52" s="148"/>
      <c r="B52" s="157" t="s">
        <v>257</v>
      </c>
      <c r="C52" s="150" t="s">
        <v>61</v>
      </c>
      <c r="D52" s="150"/>
      <c r="E52" s="150">
        <f>+E25</f>
        <v>7.28</v>
      </c>
      <c r="F52" s="151"/>
      <c r="G52" s="152"/>
      <c r="I52" s="220"/>
      <c r="J52" s="147"/>
      <c r="K52" s="147"/>
      <c r="L52" s="147"/>
      <c r="M52" s="220"/>
      <c r="N52" s="147"/>
    </row>
    <row r="53" spans="1:16" s="153" customFormat="1" ht="13.2" outlineLevel="1">
      <c r="A53" s="148"/>
      <c r="B53" s="155" t="s">
        <v>258</v>
      </c>
      <c r="C53" s="150"/>
      <c r="D53" s="150"/>
      <c r="E53" s="150"/>
      <c r="F53" s="151"/>
      <c r="G53" s="152"/>
      <c r="I53" s="220"/>
      <c r="J53" s="147"/>
      <c r="K53" s="147"/>
      <c r="L53" s="147"/>
      <c r="M53" s="220"/>
      <c r="N53" s="147"/>
    </row>
    <row r="54" spans="1:16" s="161" customFormat="1" ht="13.2" outlineLevel="1">
      <c r="A54" s="158"/>
      <c r="B54" s="149" t="s">
        <v>259</v>
      </c>
      <c r="C54" s="150" t="s">
        <v>65</v>
      </c>
      <c r="D54" s="150">
        <v>1</v>
      </c>
      <c r="E54" s="150">
        <f>E52</f>
        <v>7.28</v>
      </c>
      <c r="F54" s="159">
        <v>25000</v>
      </c>
      <c r="G54" s="160">
        <f t="shared" si="4"/>
        <v>182000</v>
      </c>
      <c r="I54" s="220"/>
      <c r="J54" s="147"/>
      <c r="K54" s="147"/>
      <c r="L54" s="147"/>
      <c r="M54" s="220"/>
      <c r="N54" s="147"/>
    </row>
    <row r="55" spans="1:16" s="161" customFormat="1" ht="13.2" outlineLevel="1">
      <c r="A55" s="158"/>
      <c r="B55" s="149" t="s">
        <v>260</v>
      </c>
      <c r="C55" s="150" t="s">
        <v>65</v>
      </c>
      <c r="D55" s="150">
        <v>1</v>
      </c>
      <c r="E55" s="150">
        <f>E51</f>
        <v>35.04</v>
      </c>
      <c r="F55" s="159">
        <v>35000</v>
      </c>
      <c r="G55" s="160">
        <f t="shared" si="4"/>
        <v>1226400</v>
      </c>
      <c r="I55" s="220"/>
      <c r="J55" s="147"/>
      <c r="K55" s="147"/>
      <c r="L55" s="147"/>
      <c r="M55" s="220"/>
      <c r="N55" s="147"/>
    </row>
    <row r="56" spans="1:16" s="161" customFormat="1" ht="13.2" outlineLevel="1">
      <c r="A56" s="158"/>
      <c r="B56" s="149" t="s">
        <v>246</v>
      </c>
      <c r="C56" s="150" t="s">
        <v>94</v>
      </c>
      <c r="D56" s="150">
        <v>1</v>
      </c>
      <c r="E56" s="150">
        <f>E33+E40+E46</f>
        <v>2873.2799999999997</v>
      </c>
      <c r="F56" s="159">
        <v>450</v>
      </c>
      <c r="G56" s="160">
        <f t="shared" si="4"/>
        <v>1292976</v>
      </c>
      <c r="I56" s="220"/>
      <c r="J56" s="147"/>
      <c r="K56" s="147"/>
      <c r="L56" s="147"/>
      <c r="M56" s="220"/>
      <c r="N56" s="147"/>
      <c r="O56" s="161">
        <f>(2000*10)/100</f>
        <v>200</v>
      </c>
    </row>
    <row r="57" spans="1:16" s="161" customFormat="1" ht="13.2" outlineLevel="1">
      <c r="A57" s="158"/>
      <c r="B57" s="149" t="s">
        <v>261</v>
      </c>
      <c r="C57" s="150" t="s">
        <v>43</v>
      </c>
      <c r="D57" s="150">
        <v>1</v>
      </c>
      <c r="E57" s="150">
        <f>E34+E41*D41+E47</f>
        <v>248.23999999999995</v>
      </c>
      <c r="F57" s="159">
        <v>6500</v>
      </c>
      <c r="G57" s="160">
        <f t="shared" si="4"/>
        <v>1613559.9999999998</v>
      </c>
      <c r="I57" s="220"/>
      <c r="J57" s="147"/>
      <c r="K57" s="147"/>
      <c r="L57" s="147"/>
      <c r="M57" s="220"/>
      <c r="N57" s="147"/>
      <c r="O57" s="161">
        <f>O56*585</f>
        <v>117000</v>
      </c>
    </row>
    <row r="58" spans="1:16" s="153" customFormat="1" ht="13.2" outlineLevel="1">
      <c r="A58" s="148"/>
      <c r="B58" s="149" t="s">
        <v>262</v>
      </c>
      <c r="C58" s="150" t="s">
        <v>31</v>
      </c>
      <c r="D58" s="150">
        <f>ROUNDDOWN(SUM(D14,D17,7),0)</f>
        <v>8</v>
      </c>
      <c r="E58" s="150">
        <v>1</v>
      </c>
      <c r="F58" s="159">
        <v>65000</v>
      </c>
      <c r="G58" s="160">
        <f>F58*E58*D58</f>
        <v>520000</v>
      </c>
      <c r="I58" s="220"/>
      <c r="J58" s="147"/>
      <c r="K58" s="147"/>
      <c r="L58" s="147"/>
      <c r="M58" s="220"/>
      <c r="N58" s="147"/>
    </row>
    <row r="59" spans="1:16" s="167" customFormat="1" outlineLevel="1">
      <c r="A59" s="162"/>
      <c r="B59" s="163"/>
      <c r="C59" s="164"/>
      <c r="D59" s="164"/>
      <c r="E59" s="164"/>
      <c r="F59" s="165"/>
      <c r="G59" s="166"/>
      <c r="I59" s="220"/>
      <c r="J59" s="147"/>
      <c r="K59" s="147"/>
      <c r="L59" s="147"/>
      <c r="M59" s="220"/>
      <c r="N59" s="147"/>
    </row>
    <row r="60" spans="1:16" s="167" customFormat="1" outlineLevel="1">
      <c r="A60" s="162"/>
      <c r="B60" s="168" t="s">
        <v>263</v>
      </c>
      <c r="C60" s="169" t="s">
        <v>65</v>
      </c>
      <c r="D60" s="169">
        <v>1</v>
      </c>
      <c r="E60" s="169">
        <f>E55</f>
        <v>35.04</v>
      </c>
      <c r="F60" s="170">
        <f>SUM(G54:G58)/SUM(E54:E55)</f>
        <v>114247.06994328923</v>
      </c>
      <c r="G60" s="171">
        <f>E60*F60</f>
        <v>4003217.3308128547</v>
      </c>
      <c r="I60" s="220"/>
      <c r="J60" s="147"/>
      <c r="K60" s="147"/>
      <c r="L60" s="147"/>
      <c r="M60" s="220"/>
      <c r="N60" s="147"/>
    </row>
    <row r="61" spans="1:16" s="167" customFormat="1" outlineLevel="1">
      <c r="A61" s="162"/>
      <c r="B61" s="172" t="s">
        <v>264</v>
      </c>
      <c r="C61" s="173" t="s">
        <v>111</v>
      </c>
      <c r="D61" s="173">
        <v>1</v>
      </c>
      <c r="E61" s="173">
        <f>E11</f>
        <v>12</v>
      </c>
      <c r="F61" s="174">
        <f>G60/E11</f>
        <v>333601.44423440454</v>
      </c>
      <c r="G61" s="175">
        <f>F61*E61*D61</f>
        <v>4003217.3308128547</v>
      </c>
      <c r="I61" s="220">
        <f>105000*E60</f>
        <v>3679200</v>
      </c>
      <c r="J61" s="147">
        <f>I61/E61</f>
        <v>306600</v>
      </c>
      <c r="K61" s="147"/>
      <c r="L61" s="147"/>
      <c r="M61" s="220"/>
      <c r="N61" s="147"/>
    </row>
    <row r="62" spans="1:16" outlineLevel="1">
      <c r="A62" s="136"/>
      <c r="B62" s="176"/>
      <c r="C62" s="164"/>
      <c r="D62" s="164"/>
      <c r="E62" s="164"/>
      <c r="F62" s="177"/>
      <c r="G62" s="178"/>
    </row>
    <row r="63" spans="1:16">
      <c r="A63" s="136"/>
      <c r="B63" s="179"/>
      <c r="C63" s="138"/>
      <c r="D63" s="138"/>
      <c r="E63" s="138"/>
      <c r="F63" s="180"/>
      <c r="G63" s="181"/>
    </row>
    <row r="64" spans="1:16">
      <c r="A64" s="136">
        <v>2</v>
      </c>
      <c r="B64" s="137" t="s">
        <v>265</v>
      </c>
      <c r="C64" s="138" t="s">
        <v>111</v>
      </c>
      <c r="D64" s="138">
        <v>1</v>
      </c>
      <c r="E64" s="143">
        <v>12</v>
      </c>
      <c r="F64" s="144">
        <v>420000</v>
      </c>
      <c r="G64" s="145">
        <f>E64*F64</f>
        <v>5040000</v>
      </c>
      <c r="I64" s="223" t="s">
        <v>266</v>
      </c>
      <c r="J64" s="182"/>
      <c r="K64" s="182"/>
      <c r="L64" s="147"/>
      <c r="M64" s="220"/>
      <c r="N64" s="147"/>
      <c r="O64" s="153"/>
      <c r="P64" s="153"/>
    </row>
    <row r="65" spans="1:16">
      <c r="A65" s="136">
        <v>3</v>
      </c>
      <c r="B65" s="137" t="s">
        <v>267</v>
      </c>
      <c r="C65" s="138" t="s">
        <v>111</v>
      </c>
      <c r="D65" s="138">
        <v>1</v>
      </c>
      <c r="E65" s="138">
        <v>16</v>
      </c>
      <c r="F65" s="180">
        <v>195000</v>
      </c>
      <c r="G65" s="145">
        <f t="shared" ref="G65:G69" si="7">E65*F65</f>
        <v>3120000</v>
      </c>
      <c r="I65" s="224" t="s">
        <v>268</v>
      </c>
      <c r="J65" s="182"/>
      <c r="K65" s="182">
        <f>MROUND(F60,100)</f>
        <v>114200</v>
      </c>
      <c r="L65" s="147"/>
      <c r="M65" s="220"/>
      <c r="N65" s="147"/>
      <c r="O65" s="153"/>
      <c r="P65" s="153"/>
    </row>
    <row r="66" spans="1:16">
      <c r="A66" s="136">
        <v>4</v>
      </c>
      <c r="B66" s="137" t="s">
        <v>269</v>
      </c>
      <c r="C66" s="138" t="s">
        <v>111</v>
      </c>
      <c r="D66" s="138">
        <v>1</v>
      </c>
      <c r="E66" s="138">
        <v>12</v>
      </c>
      <c r="F66" s="180">
        <v>320000</v>
      </c>
      <c r="G66" s="145">
        <f t="shared" si="7"/>
        <v>3840000</v>
      </c>
      <c r="I66" s="220"/>
      <c r="J66" s="147"/>
      <c r="K66" s="156">
        <v>105000</v>
      </c>
      <c r="L66" s="147"/>
      <c r="M66" s="220"/>
      <c r="N66" s="147"/>
      <c r="O66" s="153"/>
      <c r="P66" s="153"/>
    </row>
    <row r="67" spans="1:16">
      <c r="A67" s="136">
        <v>5</v>
      </c>
      <c r="B67" s="137" t="s">
        <v>270</v>
      </c>
      <c r="C67" s="138" t="s">
        <v>111</v>
      </c>
      <c r="D67" s="138">
        <v>1</v>
      </c>
      <c r="E67" s="138">
        <v>12</v>
      </c>
      <c r="F67" s="180">
        <v>175000</v>
      </c>
      <c r="G67" s="145">
        <f t="shared" si="7"/>
        <v>2100000</v>
      </c>
      <c r="I67" s="222" t="s">
        <v>271</v>
      </c>
      <c r="J67" s="147"/>
      <c r="K67" s="147"/>
      <c r="L67" s="147"/>
      <c r="M67" s="226" t="s">
        <v>272</v>
      </c>
      <c r="N67" s="183" t="s">
        <v>273</v>
      </c>
      <c r="O67" s="184" t="s">
        <v>274</v>
      </c>
      <c r="P67" s="184" t="s">
        <v>275</v>
      </c>
    </row>
    <row r="68" spans="1:16" ht="28.8">
      <c r="A68" s="136">
        <v>6</v>
      </c>
      <c r="B68" s="137" t="s">
        <v>276</v>
      </c>
      <c r="C68" s="138" t="s">
        <v>111</v>
      </c>
      <c r="D68" s="138">
        <v>1</v>
      </c>
      <c r="E68" s="138">
        <v>200</v>
      </c>
      <c r="F68" s="180">
        <v>180000</v>
      </c>
      <c r="G68" s="145">
        <f>E68*F68</f>
        <v>36000000</v>
      </c>
      <c r="I68" s="130" t="s">
        <v>224</v>
      </c>
      <c r="J68" s="147"/>
      <c r="K68" s="147"/>
      <c r="L68" s="147">
        <f>O68/12</f>
        <v>370300</v>
      </c>
      <c r="M68" s="221">
        <f>SUM(E32,E39,E45,E25)</f>
        <v>42.32</v>
      </c>
      <c r="N68" s="147">
        <f>K66</f>
        <v>105000</v>
      </c>
      <c r="O68" s="156">
        <f>N68*M68</f>
        <v>4443600</v>
      </c>
      <c r="P68" s="147">
        <f>G11-O68</f>
        <v>596400</v>
      </c>
    </row>
    <row r="69" spans="1:16" ht="28.8">
      <c r="A69" s="185">
        <v>7</v>
      </c>
      <c r="B69" s="186" t="s">
        <v>277</v>
      </c>
      <c r="C69" s="187" t="s">
        <v>31</v>
      </c>
      <c r="D69" s="187">
        <v>1</v>
      </c>
      <c r="E69" s="187">
        <v>1</v>
      </c>
      <c r="F69" s="188">
        <v>2500000</v>
      </c>
      <c r="G69" s="189">
        <f t="shared" si="7"/>
        <v>2500000</v>
      </c>
      <c r="I69" s="130" t="s">
        <v>265</v>
      </c>
      <c r="J69" s="147"/>
      <c r="K69" s="147"/>
      <c r="L69" s="147">
        <f>O69/12</f>
        <v>370300</v>
      </c>
      <c r="M69" s="221">
        <f>M68</f>
        <v>42.32</v>
      </c>
      <c r="N69" s="147">
        <f>N68</f>
        <v>105000</v>
      </c>
      <c r="O69" s="156">
        <f>N69*M69</f>
        <v>4443600</v>
      </c>
      <c r="P69" s="147">
        <f>G11-O69</f>
        <v>596400</v>
      </c>
    </row>
    <row r="70" spans="1:16">
      <c r="F70" s="190"/>
      <c r="G70" s="191"/>
      <c r="I70" s="130" t="s">
        <v>267</v>
      </c>
      <c r="J70" s="147"/>
      <c r="K70" s="147"/>
      <c r="L70" s="147">
        <f>O70/16</f>
        <v>175153.125</v>
      </c>
      <c r="M70" s="221">
        <f>2*(1.9*16*0.2)+2*(1.5*16*0.2)+2.9*17*0.1</f>
        <v>26.69</v>
      </c>
      <c r="N70" s="147">
        <f>N69</f>
        <v>105000</v>
      </c>
      <c r="O70" s="156">
        <f>N70*M70</f>
        <v>2802450</v>
      </c>
      <c r="P70" s="147">
        <f>G65-O70</f>
        <v>317550</v>
      </c>
    </row>
    <row r="71" spans="1:16" ht="28.8">
      <c r="F71" s="136" t="s">
        <v>278</v>
      </c>
      <c r="G71" s="181">
        <f>SUM(G11,G64:G69)</f>
        <v>57640000</v>
      </c>
      <c r="I71" s="130" t="s">
        <v>269</v>
      </c>
      <c r="J71" s="147"/>
      <c r="K71" s="147"/>
      <c r="L71" s="147">
        <f>O71/12</f>
        <v>282275.00000000006</v>
      </c>
      <c r="M71" s="221">
        <f>(3.6*12*0.2)*2+(1.25*12*0.2)*3+(4.6*13*0.1)</f>
        <v>32.260000000000005</v>
      </c>
      <c r="N71" s="147">
        <f>N70</f>
        <v>105000</v>
      </c>
      <c r="O71" s="156">
        <f t="shared" ref="O71:O72" si="8">N71*M71</f>
        <v>3387300.0000000005</v>
      </c>
      <c r="P71" s="147">
        <f>G66-O71</f>
        <v>452699.99999999953</v>
      </c>
    </row>
    <row r="72" spans="1:16">
      <c r="E72" s="192">
        <f>-P80/G71</f>
        <v>-0.13633903539208883</v>
      </c>
      <c r="F72" s="193" t="s">
        <v>275</v>
      </c>
      <c r="G72" s="194">
        <f>-P80</f>
        <v>-7858582</v>
      </c>
      <c r="I72" s="130" t="s">
        <v>270</v>
      </c>
      <c r="J72" s="147"/>
      <c r="K72" s="147"/>
      <c r="L72" s="147">
        <f>O72/12</f>
        <v>128100</v>
      </c>
      <c r="M72" s="221">
        <f>(1.4*12*0.2)*2+(1*12*0.2)*2+(2.4*13*0.1)</f>
        <v>14.64</v>
      </c>
      <c r="N72" s="147">
        <f>N71</f>
        <v>105000</v>
      </c>
      <c r="O72" s="156">
        <f t="shared" si="8"/>
        <v>1537200</v>
      </c>
      <c r="P72" s="147">
        <f>G67-O72</f>
        <v>562800</v>
      </c>
    </row>
    <row r="73" spans="1:16">
      <c r="F73" s="195" t="s">
        <v>279</v>
      </c>
      <c r="G73" s="181">
        <f>SUM(G71:G72)</f>
        <v>49781418</v>
      </c>
      <c r="I73" s="221"/>
      <c r="J73" s="153"/>
      <c r="K73" s="153"/>
      <c r="L73" s="153"/>
      <c r="M73" s="221"/>
      <c r="N73" s="153"/>
      <c r="O73" s="153"/>
      <c r="P73" s="153"/>
    </row>
    <row r="74" spans="1:16">
      <c r="F74" s="195"/>
      <c r="G74" s="181">
        <f>G73*1%</f>
        <v>497814.18</v>
      </c>
      <c r="I74" s="130" t="s">
        <v>276</v>
      </c>
      <c r="J74" s="147"/>
      <c r="K74" s="147"/>
      <c r="L74" s="147"/>
      <c r="M74" s="221">
        <f>4.4*200*0.2+2*(2*200*0.2)+5.4*201*0.1</f>
        <v>444.54</v>
      </c>
      <c r="N74" s="147">
        <f>MROUND(O74/M74,2500)</f>
        <v>70000</v>
      </c>
      <c r="O74" s="156">
        <f>O75-O76</f>
        <v>30667268</v>
      </c>
      <c r="P74" s="196">
        <f>G68-O74</f>
        <v>5332732</v>
      </c>
    </row>
    <row r="75" spans="1:16">
      <c r="F75" s="195" t="s">
        <v>280</v>
      </c>
      <c r="G75" s="181">
        <f>-G73*9.5%</f>
        <v>-4729234.71</v>
      </c>
      <c r="I75" s="225"/>
      <c r="J75" s="197"/>
      <c r="K75" s="197"/>
      <c r="L75" s="198"/>
      <c r="M75" s="227">
        <f>4.4*200*0.2+2*(2*200*0.2)+5.4*201*0.1</f>
        <v>444.54</v>
      </c>
      <c r="N75" s="199">
        <f>$K$65</f>
        <v>114200</v>
      </c>
      <c r="O75" s="199">
        <f>N75*M75</f>
        <v>50766468</v>
      </c>
      <c r="P75" s="199">
        <f>G68-O75</f>
        <v>-14766468</v>
      </c>
    </row>
    <row r="76" spans="1:16">
      <c r="F76" s="200" t="s">
        <v>281</v>
      </c>
      <c r="G76" s="201">
        <f>+SUM(G73:G75)</f>
        <v>45549997.469999999</v>
      </c>
      <c r="I76" s="225"/>
      <c r="J76" s="202"/>
      <c r="K76" s="202"/>
      <c r="L76" s="199" t="s">
        <v>282</v>
      </c>
      <c r="M76" s="227">
        <f>176</f>
        <v>176</v>
      </c>
      <c r="N76" s="199">
        <f>$K$65</f>
        <v>114200</v>
      </c>
      <c r="O76" s="199">
        <f>N76*M76</f>
        <v>20099200</v>
      </c>
      <c r="P76" s="199">
        <f>G69-O76</f>
        <v>-17599200</v>
      </c>
    </row>
    <row r="77" spans="1:16">
      <c r="F77" s="203"/>
      <c r="G77" s="203"/>
      <c r="I77" s="221"/>
      <c r="J77" s="153"/>
      <c r="K77" s="153"/>
      <c r="L77" s="153"/>
      <c r="M77" s="221"/>
      <c r="N77" s="153"/>
      <c r="O77" s="153"/>
      <c r="P77" s="204"/>
    </row>
    <row r="78" spans="1:16">
      <c r="F78" s="203"/>
      <c r="G78" s="203"/>
      <c r="I78" s="130" t="s">
        <v>277</v>
      </c>
      <c r="J78" s="147"/>
      <c r="K78" s="147"/>
      <c r="L78" s="147"/>
      <c r="M78" s="220">
        <v>1</v>
      </c>
      <c r="N78" s="147">
        <v>2500000</v>
      </c>
      <c r="O78" s="156">
        <v>2500000</v>
      </c>
      <c r="P78" s="204">
        <f>G69-O78</f>
        <v>0</v>
      </c>
    </row>
    <row r="79" spans="1:16" ht="15" thickBot="1">
      <c r="B79" s="77" t="s">
        <v>283</v>
      </c>
      <c r="F79" s="203"/>
      <c r="G79" s="203"/>
      <c r="I79" s="220"/>
      <c r="J79" s="147"/>
      <c r="K79" s="147"/>
      <c r="L79" s="147"/>
      <c r="M79" s="220"/>
      <c r="N79" s="147"/>
      <c r="O79" s="153"/>
      <c r="P79" s="153"/>
    </row>
    <row r="80" spans="1:16" ht="27" thickBot="1">
      <c r="F80" s="203"/>
      <c r="G80" s="203"/>
      <c r="I80" s="220"/>
      <c r="J80" s="147"/>
      <c r="K80" s="229">
        <v>104000</v>
      </c>
      <c r="L80" s="147"/>
      <c r="M80" s="228" t="s">
        <v>284</v>
      </c>
      <c r="N80" s="205"/>
      <c r="O80" s="206"/>
      <c r="P80" s="207">
        <f>SUM(P68:P74)</f>
        <v>7858582</v>
      </c>
    </row>
    <row r="81" spans="6:7">
      <c r="F81" s="203"/>
      <c r="G81" s="203"/>
    </row>
    <row r="82" spans="6:7">
      <c r="F82" s="203"/>
      <c r="G82" s="203"/>
    </row>
    <row r="83" spans="6:7">
      <c r="F83" s="203"/>
      <c r="G83" s="203"/>
    </row>
    <row r="84" spans="6:7">
      <c r="F84" s="203"/>
      <c r="G84" s="203"/>
    </row>
    <row r="85" spans="6:7">
      <c r="F85" s="203"/>
      <c r="G85" s="203"/>
    </row>
    <row r="86" spans="6:7">
      <c r="F86" s="203"/>
      <c r="G86" s="203"/>
    </row>
    <row r="87" spans="6:7">
      <c r="F87" s="203"/>
      <c r="G87" s="203"/>
    </row>
    <row r="88" spans="6:7">
      <c r="F88" s="203"/>
      <c r="G88" s="203"/>
    </row>
    <row r="89" spans="6:7">
      <c r="F89" s="203"/>
      <c r="G89" s="203"/>
    </row>
    <row r="90" spans="6:7">
      <c r="F90" s="203"/>
      <c r="G90" s="203"/>
    </row>
    <row r="91" spans="6:7">
      <c r="F91" s="203"/>
      <c r="G91" s="203"/>
    </row>
    <row r="92" spans="6:7">
      <c r="F92" s="203"/>
      <c r="G92" s="203"/>
    </row>
    <row r="93" spans="6:7">
      <c r="F93" s="203"/>
      <c r="G93" s="203"/>
    </row>
    <row r="94" spans="6:7">
      <c r="F94" s="203"/>
      <c r="G94" s="203"/>
    </row>
    <row r="95" spans="6:7">
      <c r="F95" s="203"/>
      <c r="G95" s="203"/>
    </row>
    <row r="96" spans="6:7">
      <c r="F96" s="203"/>
      <c r="G96" s="203"/>
    </row>
    <row r="97" spans="6:7">
      <c r="F97" s="203"/>
      <c r="G97" s="203"/>
    </row>
    <row r="98" spans="6:7">
      <c r="F98" s="203"/>
      <c r="G98" s="203"/>
    </row>
    <row r="99" spans="6:7">
      <c r="F99" s="203"/>
      <c r="G99" s="203"/>
    </row>
    <row r="100" spans="6:7">
      <c r="F100" s="203"/>
      <c r="G100" s="203"/>
    </row>
    <row r="101" spans="6:7">
      <c r="F101" s="203"/>
      <c r="G101" s="203"/>
    </row>
    <row r="102" spans="6:7">
      <c r="F102" s="203"/>
      <c r="G102" s="203"/>
    </row>
    <row r="103" spans="6:7">
      <c r="F103" s="203"/>
      <c r="G103" s="203"/>
    </row>
    <row r="104" spans="6:7">
      <c r="F104" s="203"/>
      <c r="G104" s="203"/>
    </row>
    <row r="105" spans="6:7">
      <c r="F105" s="203"/>
      <c r="G105" s="203"/>
    </row>
    <row r="106" spans="6:7">
      <c r="F106" s="203"/>
      <c r="G106" s="203"/>
    </row>
    <row r="107" spans="6:7">
      <c r="F107" s="203"/>
      <c r="G107" s="203"/>
    </row>
    <row r="108" spans="6:7">
      <c r="F108" s="203"/>
      <c r="G108" s="203"/>
    </row>
    <row r="109" spans="6:7">
      <c r="F109" s="203"/>
      <c r="G109" s="203"/>
    </row>
    <row r="110" spans="6:7">
      <c r="F110" s="203"/>
      <c r="G110" s="203"/>
    </row>
    <row r="111" spans="6:7">
      <c r="F111" s="203"/>
      <c r="G111" s="203"/>
    </row>
    <row r="112" spans="6:7">
      <c r="F112" s="203"/>
      <c r="G112" s="203"/>
    </row>
    <row r="113" spans="6:7">
      <c r="F113" s="203"/>
      <c r="G113" s="203"/>
    </row>
    <row r="114" spans="6:7">
      <c r="F114" s="203"/>
      <c r="G114" s="203"/>
    </row>
    <row r="115" spans="6:7">
      <c r="F115" s="203"/>
      <c r="G115" s="203"/>
    </row>
    <row r="116" spans="6:7">
      <c r="F116" s="203"/>
      <c r="G116" s="203"/>
    </row>
    <row r="117" spans="6:7">
      <c r="F117" s="203"/>
      <c r="G117" s="203"/>
    </row>
    <row r="118" spans="6:7">
      <c r="F118" s="203"/>
      <c r="G118" s="203"/>
    </row>
    <row r="119" spans="6:7">
      <c r="F119" s="203"/>
      <c r="G119" s="203"/>
    </row>
    <row r="120" spans="6:7">
      <c r="F120" s="203"/>
      <c r="G120" s="203"/>
    </row>
    <row r="121" spans="6:7">
      <c r="F121" s="203"/>
      <c r="G121" s="203"/>
    </row>
    <row r="122" spans="6:7">
      <c r="F122" s="203"/>
      <c r="G122" s="203"/>
    </row>
    <row r="123" spans="6:7">
      <c r="F123" s="203"/>
      <c r="G123" s="203"/>
    </row>
    <row r="124" spans="6:7">
      <c r="F124" s="203"/>
      <c r="G124" s="203"/>
    </row>
    <row r="125" spans="6:7">
      <c r="F125" s="203"/>
      <c r="G125" s="203"/>
    </row>
    <row r="126" spans="6:7">
      <c r="F126" s="203"/>
      <c r="G126" s="203"/>
    </row>
    <row r="127" spans="6:7">
      <c r="F127" s="203"/>
      <c r="G127" s="203"/>
    </row>
    <row r="128" spans="6:7">
      <c r="F128" s="203"/>
      <c r="G128" s="203"/>
    </row>
    <row r="129" spans="6:7">
      <c r="F129" s="203"/>
      <c r="G129" s="203"/>
    </row>
    <row r="130" spans="6:7">
      <c r="F130" s="203"/>
      <c r="G130" s="203"/>
    </row>
    <row r="131" spans="6:7">
      <c r="F131" s="203"/>
      <c r="G131" s="203"/>
    </row>
    <row r="132" spans="6:7">
      <c r="F132" s="203"/>
      <c r="G132" s="203"/>
    </row>
    <row r="133" spans="6:7">
      <c r="F133" s="203"/>
      <c r="G133" s="203"/>
    </row>
    <row r="134" spans="6:7">
      <c r="F134" s="203"/>
      <c r="G134" s="203"/>
    </row>
    <row r="135" spans="6:7">
      <c r="F135" s="203"/>
      <c r="G135" s="203"/>
    </row>
    <row r="136" spans="6:7">
      <c r="F136" s="203"/>
      <c r="G136" s="203"/>
    </row>
    <row r="137" spans="6:7">
      <c r="F137" s="203"/>
      <c r="G137" s="203"/>
    </row>
    <row r="138" spans="6:7">
      <c r="F138" s="203"/>
      <c r="G138" s="203"/>
    </row>
    <row r="139" spans="6:7">
      <c r="F139" s="203"/>
      <c r="G139" s="203"/>
    </row>
    <row r="140" spans="6:7">
      <c r="F140" s="203"/>
      <c r="G140" s="203"/>
    </row>
    <row r="141" spans="6:7">
      <c r="F141" s="203"/>
      <c r="G141" s="203"/>
    </row>
    <row r="142" spans="6:7">
      <c r="F142" s="203"/>
      <c r="G142" s="203"/>
    </row>
    <row r="143" spans="6:7">
      <c r="F143" s="203"/>
      <c r="G143" s="203"/>
    </row>
    <row r="144" spans="6:7">
      <c r="F144" s="203"/>
      <c r="G144" s="203"/>
    </row>
    <row r="145" spans="6:7">
      <c r="F145" s="203"/>
      <c r="G145" s="203"/>
    </row>
    <row r="146" spans="6:7">
      <c r="F146" s="203"/>
      <c r="G146" s="203"/>
    </row>
    <row r="147" spans="6:7">
      <c r="F147" s="203"/>
      <c r="G147" s="203"/>
    </row>
    <row r="148" spans="6:7">
      <c r="F148" s="203"/>
      <c r="G148" s="203"/>
    </row>
    <row r="149" spans="6:7">
      <c r="F149" s="203"/>
      <c r="G149" s="203"/>
    </row>
    <row r="150" spans="6:7">
      <c r="F150" s="203"/>
      <c r="G150" s="203"/>
    </row>
    <row r="151" spans="6:7">
      <c r="F151" s="203"/>
      <c r="G151" s="203"/>
    </row>
    <row r="152" spans="6:7">
      <c r="F152" s="203"/>
      <c r="G152" s="203"/>
    </row>
    <row r="153" spans="6:7">
      <c r="F153" s="203"/>
      <c r="G153" s="203"/>
    </row>
    <row r="154" spans="6:7">
      <c r="F154" s="203"/>
      <c r="G154" s="203"/>
    </row>
    <row r="155" spans="6:7">
      <c r="F155" s="203"/>
      <c r="G155" s="203"/>
    </row>
    <row r="156" spans="6:7">
      <c r="F156" s="203"/>
      <c r="G156" s="203"/>
    </row>
    <row r="157" spans="6:7">
      <c r="F157" s="203"/>
      <c r="G157" s="203"/>
    </row>
    <row r="158" spans="6:7">
      <c r="F158" s="203"/>
      <c r="G158" s="203"/>
    </row>
    <row r="159" spans="6:7">
      <c r="F159" s="203"/>
      <c r="G159" s="203"/>
    </row>
    <row r="160" spans="6:7">
      <c r="F160" s="203"/>
      <c r="G160" s="203"/>
    </row>
    <row r="161" spans="6:7">
      <c r="F161" s="203"/>
      <c r="G161" s="203"/>
    </row>
    <row r="162" spans="6:7">
      <c r="F162" s="203"/>
      <c r="G162" s="203"/>
    </row>
    <row r="163" spans="6:7">
      <c r="F163" s="203"/>
      <c r="G163" s="203"/>
    </row>
    <row r="164" spans="6:7">
      <c r="F164" s="203"/>
      <c r="G164" s="203"/>
    </row>
    <row r="165" spans="6:7">
      <c r="F165" s="203"/>
      <c r="G165" s="203"/>
    </row>
    <row r="166" spans="6:7">
      <c r="F166" s="203"/>
      <c r="G166" s="203"/>
    </row>
    <row r="167" spans="6:7">
      <c r="F167" s="203"/>
      <c r="G167" s="203"/>
    </row>
    <row r="168" spans="6:7">
      <c r="F168" s="203"/>
      <c r="G168" s="203"/>
    </row>
    <row r="169" spans="6:7">
      <c r="F169" s="203"/>
      <c r="G169" s="203"/>
    </row>
    <row r="170" spans="6:7">
      <c r="F170" s="203"/>
      <c r="G170" s="203"/>
    </row>
    <row r="171" spans="6:7">
      <c r="F171" s="203"/>
      <c r="G171" s="203"/>
    </row>
    <row r="172" spans="6:7">
      <c r="F172" s="203"/>
      <c r="G172" s="203"/>
    </row>
    <row r="173" spans="6:7">
      <c r="F173" s="203"/>
      <c r="G173" s="203"/>
    </row>
    <row r="174" spans="6:7">
      <c r="F174" s="203"/>
      <c r="G174" s="203"/>
    </row>
    <row r="175" spans="6:7">
      <c r="F175" s="203"/>
      <c r="G175" s="203"/>
    </row>
    <row r="176" spans="6:7">
      <c r="F176" s="203"/>
      <c r="G176" s="203"/>
    </row>
    <row r="177" spans="6:7">
      <c r="F177" s="203"/>
      <c r="G177" s="203"/>
    </row>
    <row r="178" spans="6:7">
      <c r="F178" s="203"/>
      <c r="G178" s="203"/>
    </row>
    <row r="179" spans="6:7">
      <c r="F179" s="203"/>
      <c r="G179" s="203"/>
    </row>
    <row r="180" spans="6:7">
      <c r="F180" s="203"/>
      <c r="G180" s="203"/>
    </row>
    <row r="181" spans="6:7">
      <c r="F181" s="203"/>
      <c r="G181" s="203"/>
    </row>
    <row r="182" spans="6:7">
      <c r="F182" s="203"/>
      <c r="G182" s="203"/>
    </row>
    <row r="183" spans="6:7">
      <c r="F183" s="203"/>
      <c r="G183" s="203"/>
    </row>
    <row r="184" spans="6:7">
      <c r="F184" s="203"/>
      <c r="G184" s="203"/>
    </row>
    <row r="185" spans="6:7">
      <c r="F185" s="203"/>
      <c r="G185" s="203"/>
    </row>
    <row r="186" spans="6:7">
      <c r="F186" s="203"/>
      <c r="G186" s="203"/>
    </row>
    <row r="187" spans="6:7">
      <c r="F187" s="203"/>
      <c r="G187" s="203"/>
    </row>
    <row r="188" spans="6:7">
      <c r="F188" s="203"/>
      <c r="G188" s="203"/>
    </row>
    <row r="189" spans="6:7">
      <c r="F189" s="203"/>
      <c r="G189" s="203"/>
    </row>
    <row r="190" spans="6:7">
      <c r="F190" s="203"/>
      <c r="G190" s="203"/>
    </row>
    <row r="191" spans="6:7">
      <c r="F191" s="203"/>
      <c r="G191" s="203"/>
    </row>
    <row r="192" spans="6:7">
      <c r="F192" s="203"/>
      <c r="G192" s="203"/>
    </row>
    <row r="193" spans="6:7">
      <c r="F193" s="203"/>
      <c r="G193" s="203"/>
    </row>
    <row r="194" spans="6:7">
      <c r="F194" s="203"/>
      <c r="G194" s="203"/>
    </row>
    <row r="195" spans="6:7">
      <c r="F195" s="203"/>
      <c r="G195" s="203"/>
    </row>
    <row r="196" spans="6:7">
      <c r="F196" s="203"/>
      <c r="G196" s="203"/>
    </row>
    <row r="197" spans="6:7">
      <c r="F197" s="203"/>
      <c r="G197" s="203"/>
    </row>
    <row r="198" spans="6:7">
      <c r="F198" s="203"/>
      <c r="G198" s="203"/>
    </row>
    <row r="199" spans="6:7">
      <c r="F199" s="203"/>
      <c r="G199" s="203"/>
    </row>
    <row r="200" spans="6:7">
      <c r="F200" s="203"/>
      <c r="G200" s="203"/>
    </row>
    <row r="201" spans="6:7">
      <c r="F201" s="203"/>
      <c r="G201" s="203"/>
    </row>
    <row r="202" spans="6:7">
      <c r="F202" s="203"/>
      <c r="G202" s="203"/>
    </row>
    <row r="203" spans="6:7">
      <c r="F203" s="203"/>
      <c r="G203" s="203"/>
    </row>
    <row r="204" spans="6:7">
      <c r="F204" s="203"/>
      <c r="G204" s="203"/>
    </row>
    <row r="205" spans="6:7">
      <c r="F205" s="203"/>
      <c r="G205" s="203"/>
    </row>
    <row r="206" spans="6:7">
      <c r="F206" s="203"/>
      <c r="G206" s="203"/>
    </row>
    <row r="207" spans="6:7">
      <c r="F207" s="203"/>
      <c r="G207" s="203"/>
    </row>
    <row r="208" spans="6:7">
      <c r="F208" s="203"/>
      <c r="G208" s="203"/>
    </row>
    <row r="209" spans="6:7">
      <c r="F209" s="203"/>
      <c r="G209" s="203"/>
    </row>
    <row r="210" spans="6:7">
      <c r="F210" s="203"/>
      <c r="G210" s="203"/>
    </row>
    <row r="211" spans="6:7">
      <c r="F211" s="203"/>
      <c r="G211" s="203"/>
    </row>
    <row r="212" spans="6:7">
      <c r="F212" s="203"/>
      <c r="G212" s="203"/>
    </row>
    <row r="213" spans="6:7">
      <c r="F213" s="203"/>
      <c r="G213" s="203"/>
    </row>
    <row r="214" spans="6:7">
      <c r="F214" s="203"/>
      <c r="G214" s="203"/>
    </row>
    <row r="215" spans="6:7">
      <c r="F215" s="203"/>
      <c r="G215" s="203"/>
    </row>
    <row r="216" spans="6:7">
      <c r="F216" s="203"/>
      <c r="G216" s="203"/>
    </row>
    <row r="217" spans="6:7">
      <c r="F217" s="203"/>
      <c r="G217" s="203"/>
    </row>
    <row r="218" spans="6:7">
      <c r="F218" s="203"/>
      <c r="G218" s="203"/>
    </row>
    <row r="219" spans="6:7">
      <c r="F219" s="203"/>
      <c r="G219" s="203"/>
    </row>
    <row r="220" spans="6:7">
      <c r="F220" s="203"/>
      <c r="G220" s="203"/>
    </row>
    <row r="221" spans="6:7">
      <c r="F221" s="203"/>
      <c r="G221" s="203"/>
    </row>
    <row r="222" spans="6:7">
      <c r="F222" s="203"/>
      <c r="G222" s="203"/>
    </row>
    <row r="223" spans="6:7">
      <c r="F223" s="203"/>
      <c r="G223" s="203"/>
    </row>
    <row r="224" spans="6:7">
      <c r="F224" s="203"/>
      <c r="G224" s="203"/>
    </row>
    <row r="225" spans="6:7">
      <c r="F225" s="203"/>
      <c r="G225" s="203"/>
    </row>
    <row r="226" spans="6:7">
      <c r="F226" s="203"/>
      <c r="G226" s="203"/>
    </row>
    <row r="227" spans="6:7">
      <c r="F227" s="203"/>
      <c r="G227" s="203"/>
    </row>
    <row r="228" spans="6:7">
      <c r="F228" s="203"/>
      <c r="G228" s="203"/>
    </row>
    <row r="229" spans="6:7">
      <c r="F229" s="203"/>
      <c r="G229" s="203"/>
    </row>
    <row r="230" spans="6:7">
      <c r="F230" s="203"/>
      <c r="G230" s="203"/>
    </row>
    <row r="231" spans="6:7">
      <c r="F231" s="203"/>
      <c r="G231" s="203"/>
    </row>
    <row r="232" spans="6:7">
      <c r="F232" s="203"/>
      <c r="G232" s="203"/>
    </row>
    <row r="233" spans="6:7">
      <c r="F233" s="203"/>
      <c r="G233" s="203"/>
    </row>
    <row r="234" spans="6:7">
      <c r="F234" s="203"/>
      <c r="G234" s="203"/>
    </row>
    <row r="235" spans="6:7">
      <c r="F235" s="203"/>
      <c r="G235" s="203"/>
    </row>
    <row r="236" spans="6:7">
      <c r="F236" s="203"/>
      <c r="G236" s="203"/>
    </row>
    <row r="237" spans="6:7">
      <c r="F237" s="203"/>
      <c r="G237" s="203"/>
    </row>
    <row r="238" spans="6:7">
      <c r="F238" s="203"/>
      <c r="G238" s="203"/>
    </row>
    <row r="239" spans="6:7">
      <c r="F239" s="203"/>
      <c r="G239" s="203"/>
    </row>
    <row r="240" spans="6:7">
      <c r="F240" s="203"/>
      <c r="G240" s="203"/>
    </row>
    <row r="241" spans="6:7">
      <c r="F241" s="203"/>
      <c r="G241" s="203"/>
    </row>
    <row r="242" spans="6:7">
      <c r="F242" s="203"/>
      <c r="G242" s="203"/>
    </row>
    <row r="243" spans="6:7">
      <c r="F243" s="203"/>
      <c r="G243" s="203"/>
    </row>
    <row r="244" spans="6:7">
      <c r="F244" s="203"/>
      <c r="G244" s="203"/>
    </row>
    <row r="245" spans="6:7">
      <c r="F245" s="203"/>
      <c r="G245" s="203"/>
    </row>
    <row r="246" spans="6:7">
      <c r="F246" s="203"/>
      <c r="G246" s="203"/>
    </row>
    <row r="247" spans="6:7">
      <c r="F247" s="203"/>
      <c r="G247" s="203"/>
    </row>
    <row r="248" spans="6:7">
      <c r="F248" s="203"/>
      <c r="G248" s="203"/>
    </row>
    <row r="249" spans="6:7">
      <c r="F249" s="203"/>
      <c r="G249" s="203"/>
    </row>
    <row r="250" spans="6:7">
      <c r="F250" s="203"/>
      <c r="G250" s="203"/>
    </row>
    <row r="251" spans="6:7">
      <c r="F251" s="203"/>
      <c r="G251" s="203"/>
    </row>
    <row r="252" spans="6:7">
      <c r="F252" s="203"/>
      <c r="G252" s="203"/>
    </row>
    <row r="253" spans="6:7">
      <c r="F253" s="203"/>
      <c r="G253" s="203"/>
    </row>
    <row r="254" spans="6:7">
      <c r="F254" s="203"/>
      <c r="G254" s="203"/>
    </row>
    <row r="255" spans="6:7">
      <c r="F255" s="203"/>
      <c r="G255" s="203"/>
    </row>
    <row r="256" spans="6:7">
      <c r="F256" s="203"/>
      <c r="G256" s="203"/>
    </row>
    <row r="257" spans="6:7">
      <c r="F257" s="203"/>
      <c r="G257" s="203"/>
    </row>
    <row r="258" spans="6:7">
      <c r="F258" s="203"/>
      <c r="G258" s="203"/>
    </row>
    <row r="259" spans="6:7">
      <c r="F259" s="203"/>
      <c r="G259" s="203"/>
    </row>
    <row r="260" spans="6:7">
      <c r="F260" s="203"/>
      <c r="G260" s="203"/>
    </row>
    <row r="261" spans="6:7">
      <c r="F261" s="203"/>
      <c r="G261" s="203"/>
    </row>
    <row r="262" spans="6:7">
      <c r="F262" s="203"/>
      <c r="G262" s="203"/>
    </row>
    <row r="263" spans="6:7">
      <c r="F263" s="203"/>
      <c r="G263" s="203"/>
    </row>
    <row r="264" spans="6:7">
      <c r="F264" s="203"/>
      <c r="G264" s="203"/>
    </row>
    <row r="265" spans="6:7">
      <c r="F265" s="203"/>
      <c r="G265" s="203"/>
    </row>
    <row r="266" spans="6:7">
      <c r="F266" s="203"/>
      <c r="G266" s="203"/>
    </row>
    <row r="267" spans="6:7">
      <c r="F267" s="203"/>
      <c r="G267" s="203"/>
    </row>
    <row r="268" spans="6:7">
      <c r="F268" s="203"/>
      <c r="G268" s="203"/>
    </row>
    <row r="269" spans="6:7">
      <c r="F269" s="203"/>
      <c r="G269" s="203"/>
    </row>
    <row r="270" spans="6:7">
      <c r="F270" s="203"/>
      <c r="G270" s="203"/>
    </row>
    <row r="271" spans="6:7">
      <c r="F271" s="203"/>
      <c r="G271" s="203"/>
    </row>
    <row r="272" spans="6:7">
      <c r="F272" s="203"/>
      <c r="G272" s="203"/>
    </row>
    <row r="273" spans="6:7">
      <c r="F273" s="203"/>
      <c r="G273" s="203"/>
    </row>
    <row r="274" spans="6:7">
      <c r="F274" s="203"/>
      <c r="G274" s="203"/>
    </row>
    <row r="275" spans="6:7">
      <c r="F275" s="203"/>
      <c r="G275" s="203"/>
    </row>
    <row r="276" spans="6:7">
      <c r="F276" s="203"/>
      <c r="G276" s="203"/>
    </row>
    <row r="277" spans="6:7">
      <c r="F277" s="203"/>
      <c r="G277" s="203"/>
    </row>
    <row r="278" spans="6:7">
      <c r="F278" s="203"/>
      <c r="G278" s="203"/>
    </row>
    <row r="279" spans="6:7">
      <c r="F279" s="203"/>
      <c r="G279" s="203"/>
    </row>
    <row r="280" spans="6:7">
      <c r="F280" s="203"/>
      <c r="G280" s="203"/>
    </row>
    <row r="281" spans="6:7">
      <c r="F281" s="203"/>
      <c r="G281" s="203"/>
    </row>
    <row r="282" spans="6:7">
      <c r="F282" s="203"/>
      <c r="G282" s="203"/>
    </row>
    <row r="283" spans="6:7">
      <c r="F283" s="203"/>
      <c r="G283" s="203"/>
    </row>
    <row r="284" spans="6:7">
      <c r="F284" s="203"/>
      <c r="G284" s="203"/>
    </row>
    <row r="285" spans="6:7">
      <c r="F285" s="203"/>
      <c r="G285" s="203"/>
    </row>
    <row r="286" spans="6:7">
      <c r="F286" s="203"/>
      <c r="G286" s="203"/>
    </row>
    <row r="287" spans="6:7">
      <c r="F287" s="203"/>
      <c r="G287" s="203"/>
    </row>
    <row r="288" spans="6:7">
      <c r="F288" s="203"/>
      <c r="G288" s="203"/>
    </row>
    <row r="289" spans="6:7">
      <c r="F289" s="203"/>
      <c r="G289" s="203"/>
    </row>
    <row r="290" spans="6:7">
      <c r="F290" s="203"/>
      <c r="G290" s="203"/>
    </row>
    <row r="291" spans="6:7">
      <c r="F291" s="203"/>
      <c r="G291" s="203"/>
    </row>
    <row r="292" spans="6:7">
      <c r="F292" s="203"/>
      <c r="G292" s="203"/>
    </row>
    <row r="293" spans="6:7">
      <c r="F293" s="203"/>
      <c r="G293" s="203"/>
    </row>
    <row r="294" spans="6:7">
      <c r="F294" s="203"/>
      <c r="G294" s="203"/>
    </row>
    <row r="295" spans="6:7">
      <c r="F295" s="203"/>
      <c r="G295" s="203"/>
    </row>
    <row r="296" spans="6:7">
      <c r="F296" s="203"/>
      <c r="G296" s="203"/>
    </row>
    <row r="297" spans="6:7">
      <c r="F297" s="203"/>
      <c r="G297" s="203"/>
    </row>
    <row r="298" spans="6:7">
      <c r="F298" s="203"/>
      <c r="G298" s="203"/>
    </row>
    <row r="299" spans="6:7">
      <c r="F299" s="203"/>
      <c r="G299" s="203"/>
    </row>
    <row r="300" spans="6:7">
      <c r="F300" s="203"/>
      <c r="G300" s="203"/>
    </row>
    <row r="301" spans="6:7">
      <c r="F301" s="203"/>
      <c r="G301" s="203"/>
    </row>
    <row r="302" spans="6:7">
      <c r="F302" s="203"/>
      <c r="G302" s="203"/>
    </row>
    <row r="303" spans="6:7">
      <c r="F303" s="203"/>
      <c r="G303" s="203"/>
    </row>
    <row r="304" spans="6:7">
      <c r="F304" s="203"/>
      <c r="G304" s="203"/>
    </row>
    <row r="305" spans="6:7">
      <c r="F305" s="203"/>
      <c r="G305" s="203"/>
    </row>
    <row r="306" spans="6:7">
      <c r="F306" s="203"/>
      <c r="G306" s="203"/>
    </row>
    <row r="307" spans="6:7">
      <c r="F307" s="203"/>
      <c r="G307" s="203"/>
    </row>
    <row r="308" spans="6:7">
      <c r="F308" s="203"/>
      <c r="G308" s="203"/>
    </row>
    <row r="309" spans="6:7">
      <c r="F309" s="203"/>
      <c r="G309" s="203"/>
    </row>
    <row r="310" spans="6:7">
      <c r="F310" s="203"/>
      <c r="G310" s="203"/>
    </row>
    <row r="311" spans="6:7">
      <c r="F311" s="203"/>
      <c r="G311" s="203"/>
    </row>
    <row r="312" spans="6:7">
      <c r="F312" s="203"/>
      <c r="G312" s="203"/>
    </row>
    <row r="313" spans="6:7">
      <c r="F313" s="203"/>
      <c r="G313" s="203"/>
    </row>
    <row r="314" spans="6:7">
      <c r="F314" s="203"/>
      <c r="G314" s="203"/>
    </row>
    <row r="315" spans="6:7">
      <c r="F315" s="203"/>
      <c r="G315" s="203"/>
    </row>
    <row r="316" spans="6:7">
      <c r="F316" s="203"/>
      <c r="G316" s="203"/>
    </row>
    <row r="317" spans="6:7">
      <c r="F317" s="203"/>
      <c r="G317" s="203"/>
    </row>
    <row r="318" spans="6:7">
      <c r="F318" s="203"/>
      <c r="G318" s="203"/>
    </row>
    <row r="319" spans="6:7">
      <c r="F319" s="203"/>
      <c r="G319" s="203"/>
    </row>
    <row r="320" spans="6:7">
      <c r="F320" s="203"/>
      <c r="G320" s="203"/>
    </row>
    <row r="321" spans="6:7">
      <c r="F321" s="203"/>
      <c r="G321" s="203"/>
    </row>
    <row r="322" spans="6:7">
      <c r="F322" s="203"/>
      <c r="G322" s="203"/>
    </row>
    <row r="323" spans="6:7">
      <c r="F323" s="203"/>
      <c r="G323" s="203"/>
    </row>
    <row r="324" spans="6:7">
      <c r="F324" s="203"/>
      <c r="G324" s="203"/>
    </row>
    <row r="325" spans="6:7">
      <c r="F325" s="203"/>
      <c r="G325" s="203"/>
    </row>
    <row r="326" spans="6:7">
      <c r="F326" s="203"/>
      <c r="G326" s="203"/>
    </row>
    <row r="327" spans="6:7">
      <c r="F327" s="203"/>
      <c r="G327" s="203"/>
    </row>
    <row r="328" spans="6:7">
      <c r="F328" s="203"/>
      <c r="G328" s="203"/>
    </row>
    <row r="329" spans="6:7">
      <c r="F329" s="203"/>
      <c r="G329" s="203"/>
    </row>
    <row r="330" spans="6:7">
      <c r="F330" s="203"/>
      <c r="G330" s="203"/>
    </row>
    <row r="331" spans="6:7">
      <c r="F331" s="203"/>
      <c r="G331" s="203"/>
    </row>
    <row r="332" spans="6:7">
      <c r="F332" s="203"/>
      <c r="G332" s="203"/>
    </row>
    <row r="333" spans="6:7">
      <c r="F333" s="203"/>
      <c r="G333" s="203"/>
    </row>
    <row r="334" spans="6:7">
      <c r="F334" s="203"/>
      <c r="G334" s="203"/>
    </row>
    <row r="335" spans="6:7">
      <c r="F335" s="203"/>
      <c r="G335" s="203"/>
    </row>
    <row r="336" spans="6:7">
      <c r="F336" s="203"/>
      <c r="G336" s="203"/>
    </row>
    <row r="337" spans="6:7">
      <c r="F337" s="203"/>
      <c r="G337" s="203"/>
    </row>
    <row r="338" spans="6:7">
      <c r="F338" s="203"/>
      <c r="G338" s="203"/>
    </row>
    <row r="339" spans="6:7">
      <c r="F339" s="203"/>
      <c r="G339" s="203"/>
    </row>
    <row r="340" spans="6:7">
      <c r="F340" s="203"/>
      <c r="G340" s="203"/>
    </row>
    <row r="341" spans="6:7">
      <c r="F341" s="203"/>
      <c r="G341" s="203"/>
    </row>
    <row r="342" spans="6:7">
      <c r="F342" s="203"/>
      <c r="G342" s="203"/>
    </row>
    <row r="343" spans="6:7">
      <c r="F343" s="203"/>
      <c r="G343" s="203"/>
    </row>
    <row r="344" spans="6:7">
      <c r="F344" s="203"/>
      <c r="G344" s="203"/>
    </row>
    <row r="345" spans="6:7">
      <c r="F345" s="203"/>
      <c r="G345" s="203"/>
    </row>
    <row r="346" spans="6:7">
      <c r="F346" s="203"/>
      <c r="G346" s="203"/>
    </row>
    <row r="347" spans="6:7">
      <c r="F347" s="203"/>
      <c r="G347" s="203"/>
    </row>
    <row r="348" spans="6:7">
      <c r="F348" s="203"/>
      <c r="G348" s="203"/>
    </row>
    <row r="349" spans="6:7">
      <c r="F349" s="203"/>
      <c r="G349" s="203"/>
    </row>
    <row r="350" spans="6:7">
      <c r="F350" s="203"/>
      <c r="G350" s="203"/>
    </row>
  </sheetData>
  <mergeCells count="3">
    <mergeCell ref="A2:P2"/>
    <mergeCell ref="A9:G9"/>
    <mergeCell ref="I9:J9"/>
  </mergeCells>
  <pageMargins left="0.7" right="0.7" top="0.75" bottom="0.75" header="0.3" footer="0.3"/>
  <pageSetup paperSize="9" orientation="portrait" r:id="rId1"/>
  <ignoredErrors>
    <ignoredError sqref="K3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"/>
  <sheetViews>
    <sheetView workbookViewId="0">
      <pane xSplit="1" ySplit="6" topLeftCell="B106" activePane="bottomRight" state="frozen"/>
      <selection pane="topRight" activeCell="B1" sqref="B1"/>
      <selection pane="bottomLeft" activeCell="A7" sqref="A7"/>
      <selection pane="bottomRight" activeCell="B127" sqref="B127:D127"/>
    </sheetView>
  </sheetViews>
  <sheetFormatPr baseColWidth="10" defaultColWidth="10.88671875" defaultRowHeight="11.4"/>
  <cols>
    <col min="1" max="1" width="12.44140625" style="85" bestFit="1" customWidth="1"/>
    <col min="2" max="2" width="74.88671875" style="85" customWidth="1"/>
    <col min="3" max="3" width="12.88671875" style="85" customWidth="1"/>
    <col min="4" max="4" width="14.5546875" style="85" customWidth="1"/>
    <col min="5" max="5" width="13.44140625" style="85" bestFit="1" customWidth="1"/>
    <col min="6" max="16384" width="10.88671875" style="85"/>
  </cols>
  <sheetData>
    <row r="1" spans="1:21" ht="24" customHeight="1">
      <c r="A1" s="601" t="s">
        <v>134</v>
      </c>
      <c r="B1" s="601"/>
      <c r="C1" s="601"/>
      <c r="D1" s="601"/>
    </row>
    <row r="2" spans="1:21" ht="15.75" customHeight="1">
      <c r="A2" s="601" t="s">
        <v>135</v>
      </c>
      <c r="B2" s="601"/>
      <c r="C2" s="601"/>
      <c r="D2" s="601"/>
    </row>
    <row r="3" spans="1:21" ht="15.75" customHeight="1">
      <c r="A3" s="601"/>
      <c r="B3" s="601"/>
      <c r="C3" s="601"/>
      <c r="D3" s="601"/>
    </row>
    <row r="4" spans="1:21" ht="12" customHeight="1">
      <c r="A4" s="602"/>
      <c r="B4" s="602"/>
      <c r="C4" s="602"/>
      <c r="D4" s="602"/>
    </row>
    <row r="5" spans="1:21" s="91" customFormat="1" ht="27.75" customHeight="1">
      <c r="A5" s="86" t="s">
        <v>136</v>
      </c>
      <c r="B5" s="87" t="s">
        <v>0</v>
      </c>
      <c r="C5" s="88" t="s">
        <v>137</v>
      </c>
      <c r="D5" s="89" t="s">
        <v>138</v>
      </c>
      <c r="E5" s="90"/>
      <c r="F5" s="90"/>
      <c r="G5" s="90"/>
      <c r="H5" s="90"/>
    </row>
    <row r="6" spans="1:21" s="91" customFormat="1" ht="15" customHeight="1">
      <c r="A6" s="603" t="s">
        <v>1</v>
      </c>
      <c r="B6" s="603"/>
      <c r="C6" s="603"/>
      <c r="D6" s="603"/>
      <c r="E6" s="92"/>
      <c r="F6" s="92"/>
      <c r="G6" s="92"/>
      <c r="H6" s="92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</row>
    <row r="7" spans="1:21" s="91" customFormat="1" ht="20.25" customHeight="1">
      <c r="A7" s="94" t="s">
        <v>2</v>
      </c>
      <c r="B7" s="604" t="s">
        <v>3</v>
      </c>
      <c r="C7" s="605"/>
      <c r="D7" s="606"/>
      <c r="E7" s="92"/>
      <c r="F7" s="92"/>
      <c r="G7" s="92"/>
      <c r="H7" s="92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</row>
    <row r="8" spans="1:21" s="91" customFormat="1" ht="20.25" customHeight="1">
      <c r="A8" s="94">
        <v>100.1</v>
      </c>
      <c r="B8" s="607" t="s">
        <v>4</v>
      </c>
      <c r="C8" s="608"/>
      <c r="D8" s="608"/>
      <c r="E8" s="92"/>
      <c r="F8" s="92"/>
      <c r="G8" s="92"/>
      <c r="H8" s="92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</row>
    <row r="9" spans="1:21" s="98" customFormat="1" ht="20.25" customHeight="1">
      <c r="A9" s="95"/>
      <c r="B9" s="598" t="s">
        <v>139</v>
      </c>
      <c r="C9" s="599"/>
      <c r="D9" s="599"/>
      <c r="E9" s="96"/>
      <c r="F9" s="96"/>
      <c r="G9" s="96"/>
      <c r="H9" s="96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</row>
    <row r="10" spans="1:21" s="98" customFormat="1" ht="20.25" customHeight="1">
      <c r="A10" s="99" t="s">
        <v>140</v>
      </c>
      <c r="B10" s="100" t="s">
        <v>141</v>
      </c>
      <c r="C10" s="101">
        <v>19.500000000000004</v>
      </c>
      <c r="D10" s="102" t="s">
        <v>142</v>
      </c>
      <c r="E10" s="600" t="s">
        <v>286</v>
      </c>
      <c r="F10" s="96"/>
      <c r="G10" s="96"/>
      <c r="H10" s="96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</row>
    <row r="11" spans="1:21" s="98" customFormat="1" ht="20.25" customHeight="1">
      <c r="A11" s="99" t="s">
        <v>143</v>
      </c>
      <c r="B11" s="100" t="s">
        <v>144</v>
      </c>
      <c r="C11" s="101">
        <v>585</v>
      </c>
      <c r="D11" s="102" t="s">
        <v>145</v>
      </c>
      <c r="E11" s="600"/>
      <c r="F11" s="96"/>
      <c r="G11" s="96"/>
      <c r="H11" s="96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</row>
    <row r="12" spans="1:21" s="98" customFormat="1" ht="20.25" customHeight="1">
      <c r="A12" s="99" t="s">
        <v>146</v>
      </c>
      <c r="B12" s="100" t="s">
        <v>147</v>
      </c>
      <c r="C12" s="101">
        <v>11466</v>
      </c>
      <c r="D12" s="102" t="s">
        <v>94</v>
      </c>
      <c r="E12" s="600"/>
      <c r="F12" s="96"/>
      <c r="G12" s="96"/>
      <c r="H12" s="96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</row>
    <row r="13" spans="1:21" s="98" customFormat="1" ht="20.25" customHeight="1">
      <c r="A13" s="99" t="s">
        <v>148</v>
      </c>
      <c r="B13" s="100" t="s">
        <v>149</v>
      </c>
      <c r="C13" s="101">
        <v>127.4</v>
      </c>
      <c r="D13" s="102" t="s">
        <v>142</v>
      </c>
      <c r="E13" s="600"/>
      <c r="F13" s="96"/>
      <c r="G13" s="96"/>
      <c r="H13" s="96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</row>
    <row r="14" spans="1:21" s="98" customFormat="1" ht="20.25" customHeight="1">
      <c r="A14" s="99" t="s">
        <v>150</v>
      </c>
      <c r="B14" s="100" t="s">
        <v>151</v>
      </c>
      <c r="C14" s="101">
        <v>780</v>
      </c>
      <c r="D14" s="102" t="s">
        <v>152</v>
      </c>
      <c r="E14" s="600"/>
      <c r="F14" s="96"/>
      <c r="G14" s="96"/>
      <c r="H14" s="96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</row>
    <row r="15" spans="1:21" s="98" customFormat="1" ht="20.25" customHeight="1">
      <c r="A15" s="99" t="s">
        <v>153</v>
      </c>
      <c r="B15" s="103" t="s">
        <v>154</v>
      </c>
      <c r="C15" s="104">
        <v>994.49999999999989</v>
      </c>
      <c r="D15" s="105" t="s">
        <v>145</v>
      </c>
      <c r="E15" s="600"/>
      <c r="F15" s="96"/>
      <c r="G15" s="96"/>
      <c r="H15" s="96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</row>
    <row r="16" spans="1:21" s="98" customFormat="1" ht="20.25" customHeight="1">
      <c r="A16" s="95"/>
      <c r="B16" s="598" t="s">
        <v>155</v>
      </c>
      <c r="C16" s="599"/>
      <c r="D16" s="599"/>
      <c r="E16" s="96"/>
      <c r="F16" s="96"/>
      <c r="G16" s="96"/>
      <c r="H16" s="96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</row>
    <row r="17" spans="1:21" s="98" customFormat="1" ht="20.25" customHeight="1">
      <c r="A17" s="99" t="s">
        <v>140</v>
      </c>
      <c r="B17" s="100" t="s">
        <v>141</v>
      </c>
      <c r="C17" s="101">
        <v>12.000000000000002</v>
      </c>
      <c r="D17" s="102" t="s">
        <v>142</v>
      </c>
      <c r="E17" s="600" t="s">
        <v>286</v>
      </c>
      <c r="F17" s="96"/>
      <c r="G17" s="96"/>
      <c r="H17" s="96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</row>
    <row r="18" spans="1:21" s="98" customFormat="1" ht="20.25" customHeight="1">
      <c r="A18" s="99" t="s">
        <v>143</v>
      </c>
      <c r="B18" s="100" t="s">
        <v>144</v>
      </c>
      <c r="C18" s="101">
        <v>240</v>
      </c>
      <c r="D18" s="102" t="s">
        <v>145</v>
      </c>
      <c r="E18" s="600"/>
      <c r="F18" s="96"/>
      <c r="G18" s="96"/>
      <c r="H18" s="96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</row>
    <row r="19" spans="1:21" s="98" customFormat="1" ht="20.25" customHeight="1">
      <c r="A19" s="99" t="s">
        <v>146</v>
      </c>
      <c r="B19" s="100" t="s">
        <v>147</v>
      </c>
      <c r="C19" s="101">
        <v>4608.0000000000009</v>
      </c>
      <c r="D19" s="102" t="s">
        <v>94</v>
      </c>
      <c r="E19" s="600"/>
      <c r="F19" s="96"/>
      <c r="G19" s="96"/>
      <c r="H19" s="96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</row>
    <row r="20" spans="1:21" s="98" customFormat="1" ht="20.25" customHeight="1">
      <c r="A20" s="99" t="s">
        <v>148</v>
      </c>
      <c r="B20" s="100" t="s">
        <v>149</v>
      </c>
      <c r="C20" s="101">
        <v>51.20000000000001</v>
      </c>
      <c r="D20" s="102" t="s">
        <v>142</v>
      </c>
      <c r="E20" s="600"/>
      <c r="F20" s="96"/>
      <c r="G20" s="96"/>
      <c r="H20" s="96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</row>
    <row r="21" spans="1:21" s="98" customFormat="1" ht="20.25" customHeight="1">
      <c r="A21" s="99" t="s">
        <v>150</v>
      </c>
      <c r="B21" s="100" t="s">
        <v>151</v>
      </c>
      <c r="C21" s="101">
        <v>240</v>
      </c>
      <c r="D21" s="102" t="s">
        <v>152</v>
      </c>
      <c r="E21" s="600"/>
      <c r="F21" s="96"/>
      <c r="G21" s="96"/>
      <c r="H21" s="96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</row>
    <row r="22" spans="1:21" s="98" customFormat="1" ht="20.25" customHeight="1">
      <c r="A22" s="99" t="s">
        <v>153</v>
      </c>
      <c r="B22" s="103" t="s">
        <v>154</v>
      </c>
      <c r="C22" s="104">
        <v>395.99999999999994</v>
      </c>
      <c r="D22" s="105" t="s">
        <v>145</v>
      </c>
      <c r="E22" s="600"/>
      <c r="F22" s="96"/>
      <c r="G22" s="96"/>
      <c r="H22" s="96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</row>
    <row r="23" spans="1:21" s="98" customFormat="1" ht="20.25" customHeight="1">
      <c r="A23" s="95"/>
      <c r="B23" s="598" t="s">
        <v>156</v>
      </c>
      <c r="C23" s="599"/>
      <c r="D23" s="599"/>
      <c r="E23" s="96"/>
      <c r="F23" s="96"/>
      <c r="G23" s="96"/>
      <c r="H23" s="96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</row>
    <row r="24" spans="1:21" s="98" customFormat="1" ht="20.25" customHeight="1">
      <c r="A24" s="99" t="s">
        <v>140</v>
      </c>
      <c r="B24" s="100" t="s">
        <v>141</v>
      </c>
      <c r="C24" s="101">
        <v>144</v>
      </c>
      <c r="D24" s="102" t="s">
        <v>142</v>
      </c>
      <c r="E24" s="600" t="s">
        <v>286</v>
      </c>
      <c r="F24" s="96"/>
      <c r="G24" s="96"/>
      <c r="H24" s="96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</row>
    <row r="25" spans="1:21" s="98" customFormat="1" ht="20.25" customHeight="1">
      <c r="A25" s="99" t="s">
        <v>143</v>
      </c>
      <c r="B25" s="100" t="s">
        <v>144</v>
      </c>
      <c r="C25" s="101">
        <v>2736</v>
      </c>
      <c r="D25" s="102" t="s">
        <v>145</v>
      </c>
      <c r="E25" s="600"/>
      <c r="F25" s="96"/>
      <c r="G25" s="96"/>
      <c r="H25" s="96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</row>
    <row r="26" spans="1:21" s="98" customFormat="1" ht="20.25" customHeight="1">
      <c r="A26" s="99" t="s">
        <v>146</v>
      </c>
      <c r="B26" s="100" t="s">
        <v>147</v>
      </c>
      <c r="C26" s="101">
        <v>51840</v>
      </c>
      <c r="D26" s="102" t="s">
        <v>94</v>
      </c>
      <c r="E26" s="600"/>
      <c r="F26" s="96"/>
      <c r="G26" s="96"/>
      <c r="H26" s="96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</row>
    <row r="27" spans="1:21" s="98" customFormat="1" ht="20.25" customHeight="1">
      <c r="A27" s="99" t="s">
        <v>148</v>
      </c>
      <c r="B27" s="100" t="s">
        <v>149</v>
      </c>
      <c r="C27" s="101">
        <v>576</v>
      </c>
      <c r="D27" s="102" t="s">
        <v>142</v>
      </c>
      <c r="E27" s="600"/>
      <c r="F27" s="96"/>
      <c r="G27" s="96"/>
      <c r="H27" s="96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</row>
    <row r="28" spans="1:21" s="98" customFormat="1" ht="20.25" customHeight="1">
      <c r="A28" s="99" t="s">
        <v>150</v>
      </c>
      <c r="B28" s="100" t="s">
        <v>151</v>
      </c>
      <c r="C28" s="101">
        <v>2160</v>
      </c>
      <c r="D28" s="102" t="s">
        <v>152</v>
      </c>
      <c r="E28" s="600"/>
      <c r="F28" s="96"/>
      <c r="G28" s="96"/>
      <c r="H28" s="96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</row>
    <row r="29" spans="1:21" s="98" customFormat="1" ht="20.25" customHeight="1">
      <c r="A29" s="99" t="s">
        <v>153</v>
      </c>
      <c r="B29" s="103" t="s">
        <v>154</v>
      </c>
      <c r="C29" s="104">
        <v>5313.6</v>
      </c>
      <c r="D29" s="105" t="s">
        <v>145</v>
      </c>
      <c r="E29" s="600"/>
      <c r="F29" s="96"/>
      <c r="G29" s="96"/>
      <c r="H29" s="96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</row>
    <row r="30" spans="1:21" s="98" customFormat="1" ht="20.25" customHeight="1">
      <c r="A30" s="209">
        <v>1.4</v>
      </c>
      <c r="B30" s="598" t="s">
        <v>157</v>
      </c>
      <c r="C30" s="599"/>
      <c r="D30" s="599"/>
      <c r="E30" s="96"/>
      <c r="F30" s="96"/>
      <c r="G30" s="96"/>
      <c r="H30" s="96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</row>
    <row r="31" spans="1:21" s="98" customFormat="1" ht="20.25" customHeight="1">
      <c r="A31" s="99" t="s">
        <v>140</v>
      </c>
      <c r="B31" s="100" t="s">
        <v>141</v>
      </c>
      <c r="C31" s="101">
        <v>162</v>
      </c>
      <c r="D31" s="102" t="s">
        <v>142</v>
      </c>
      <c r="E31" s="96"/>
      <c r="F31" s="96"/>
      <c r="G31" s="96"/>
      <c r="H31" s="96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</row>
    <row r="32" spans="1:21" s="98" customFormat="1" ht="20.25" customHeight="1">
      <c r="A32" s="99" t="s">
        <v>143</v>
      </c>
      <c r="B32" s="100" t="s">
        <v>144</v>
      </c>
      <c r="C32" s="101">
        <v>2928.4402928678096</v>
      </c>
      <c r="D32" s="102" t="s">
        <v>145</v>
      </c>
      <c r="E32" s="96"/>
      <c r="F32" s="96"/>
      <c r="G32" s="96"/>
      <c r="H32" s="96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</row>
    <row r="33" spans="1:21" s="98" customFormat="1" ht="20.25" customHeight="1">
      <c r="A33" s="99" t="s">
        <v>146</v>
      </c>
      <c r="B33" s="100" t="s">
        <v>147</v>
      </c>
      <c r="C33" s="101">
        <v>55303.925271620588</v>
      </c>
      <c r="D33" s="102" t="s">
        <v>94</v>
      </c>
      <c r="E33" s="96"/>
      <c r="F33" s="96"/>
      <c r="G33" s="96"/>
      <c r="H33" s="96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</row>
    <row r="34" spans="1:21" s="98" customFormat="1" ht="20.25" customHeight="1">
      <c r="A34" s="99" t="s">
        <v>148</v>
      </c>
      <c r="B34" s="100" t="s">
        <v>149</v>
      </c>
      <c r="C34" s="101">
        <v>614.48805857356206</v>
      </c>
      <c r="D34" s="102" t="s">
        <v>142</v>
      </c>
      <c r="E34" s="96"/>
      <c r="F34" s="96"/>
      <c r="G34" s="96"/>
      <c r="H34" s="96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</row>
    <row r="35" spans="1:21" s="98" customFormat="1" ht="20.25" customHeight="1">
      <c r="A35" s="99" t="s">
        <v>150</v>
      </c>
      <c r="B35" s="100" t="s">
        <v>151</v>
      </c>
      <c r="C35" s="101">
        <v>2160</v>
      </c>
      <c r="D35" s="102" t="s">
        <v>152</v>
      </c>
      <c r="E35" s="96"/>
      <c r="F35" s="96"/>
      <c r="G35" s="96"/>
      <c r="H35" s="96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</row>
    <row r="36" spans="1:21" s="98" customFormat="1" ht="20.25" customHeight="1">
      <c r="A36" s="99" t="s">
        <v>153</v>
      </c>
      <c r="B36" s="103" t="s">
        <v>154</v>
      </c>
      <c r="C36" s="104">
        <v>5659.9925271620568</v>
      </c>
      <c r="D36" s="105" t="s">
        <v>145</v>
      </c>
      <c r="E36" s="96"/>
      <c r="F36" s="96"/>
      <c r="G36" s="96"/>
      <c r="H36" s="96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</row>
    <row r="37" spans="1:21" s="98" customFormat="1" ht="21" customHeight="1">
      <c r="A37" s="95">
        <v>100.2</v>
      </c>
      <c r="B37" s="607" t="s">
        <v>158</v>
      </c>
      <c r="C37" s="608"/>
      <c r="D37" s="608"/>
      <c r="E37" s="96"/>
      <c r="F37" s="96"/>
      <c r="G37" s="96"/>
      <c r="H37" s="96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</row>
    <row r="38" spans="1:21" s="98" customFormat="1" ht="23.25" customHeight="1">
      <c r="A38" s="209">
        <v>2.1</v>
      </c>
      <c r="B38" s="598" t="s">
        <v>159</v>
      </c>
      <c r="C38" s="599"/>
      <c r="D38" s="599"/>
      <c r="E38" s="611" t="s">
        <v>288</v>
      </c>
      <c r="F38" s="96"/>
      <c r="G38" s="96"/>
      <c r="H38" s="96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</row>
    <row r="39" spans="1:21" s="98" customFormat="1" ht="21" customHeight="1">
      <c r="A39" s="99" t="s">
        <v>160</v>
      </c>
      <c r="B39" s="100" t="s">
        <v>141</v>
      </c>
      <c r="C39" s="101">
        <v>7</v>
      </c>
      <c r="D39" s="102" t="s">
        <v>142</v>
      </c>
      <c r="E39" s="611"/>
      <c r="F39" s="96"/>
      <c r="G39" s="96"/>
      <c r="H39" s="96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</row>
    <row r="40" spans="1:21" s="98" customFormat="1" ht="21" customHeight="1">
      <c r="A40" s="99" t="s">
        <v>161</v>
      </c>
      <c r="B40" s="100" t="s">
        <v>144</v>
      </c>
      <c r="C40" s="101">
        <v>175</v>
      </c>
      <c r="D40" s="102" t="s">
        <v>145</v>
      </c>
      <c r="E40" s="611"/>
      <c r="F40" s="96"/>
      <c r="G40" s="96"/>
      <c r="H40" s="96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</row>
    <row r="41" spans="1:21" s="98" customFormat="1" ht="21" customHeight="1">
      <c r="A41" s="99" t="s">
        <v>162</v>
      </c>
      <c r="B41" s="100" t="s">
        <v>147</v>
      </c>
      <c r="C41" s="101">
        <v>3402.0000000000005</v>
      </c>
      <c r="D41" s="102" t="s">
        <v>94</v>
      </c>
      <c r="E41" s="611"/>
      <c r="F41" s="96"/>
      <c r="G41" s="96"/>
      <c r="H41" s="96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</row>
    <row r="42" spans="1:21" s="98" customFormat="1" ht="21" customHeight="1">
      <c r="A42" s="99" t="s">
        <v>163</v>
      </c>
      <c r="B42" s="100" t="s">
        <v>149</v>
      </c>
      <c r="C42" s="101">
        <v>37.800000000000004</v>
      </c>
      <c r="D42" s="102" t="s">
        <v>142</v>
      </c>
      <c r="E42" s="611"/>
      <c r="F42" s="96"/>
      <c r="G42" s="96"/>
      <c r="H42" s="96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</row>
    <row r="43" spans="1:21" s="98" customFormat="1" ht="17.25" customHeight="1">
      <c r="A43" s="99" t="s">
        <v>164</v>
      </c>
      <c r="B43" s="100" t="s">
        <v>151</v>
      </c>
      <c r="C43" s="101">
        <v>210</v>
      </c>
      <c r="D43" s="102" t="s">
        <v>152</v>
      </c>
      <c r="E43" s="611"/>
      <c r="F43" s="96"/>
      <c r="G43" s="96"/>
      <c r="H43" s="96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</row>
    <row r="44" spans="1:21" s="98" customFormat="1" ht="21" customHeight="1">
      <c r="A44" s="99" t="s">
        <v>165</v>
      </c>
      <c r="B44" s="103" t="s">
        <v>154</v>
      </c>
      <c r="C44" s="105">
        <v>293.99999999999994</v>
      </c>
      <c r="D44" s="105" t="s">
        <v>145</v>
      </c>
      <c r="E44" s="611"/>
      <c r="F44" s="96"/>
      <c r="G44" s="96"/>
      <c r="H44" s="96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</row>
    <row r="45" spans="1:21" s="98" customFormat="1" ht="21" customHeight="1">
      <c r="A45" s="95"/>
      <c r="B45" s="598" t="s">
        <v>166</v>
      </c>
      <c r="C45" s="599"/>
      <c r="D45" s="599"/>
      <c r="E45" s="96"/>
      <c r="F45" s="96"/>
      <c r="G45" s="96"/>
      <c r="H45" s="96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</row>
    <row r="46" spans="1:21" s="98" customFormat="1" ht="21" customHeight="1">
      <c r="A46" s="99" t="s">
        <v>160</v>
      </c>
      <c r="B46" s="100" t="s">
        <v>141</v>
      </c>
      <c r="C46" s="106">
        <v>1.2800000000000002</v>
      </c>
      <c r="D46" s="102" t="s">
        <v>142</v>
      </c>
      <c r="E46" s="600" t="s">
        <v>290</v>
      </c>
      <c r="F46" s="96"/>
      <c r="G46" s="96"/>
      <c r="H46" s="96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</row>
    <row r="47" spans="1:21" s="98" customFormat="1" ht="21" customHeight="1">
      <c r="A47" s="99" t="s">
        <v>161</v>
      </c>
      <c r="B47" s="100" t="s">
        <v>144</v>
      </c>
      <c r="C47" s="101">
        <v>38.400000000000006</v>
      </c>
      <c r="D47" s="102" t="s">
        <v>145</v>
      </c>
      <c r="E47" s="600"/>
      <c r="F47" s="96"/>
      <c r="G47" s="96"/>
      <c r="H47" s="96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</row>
    <row r="48" spans="1:21" s="98" customFormat="1" ht="21" customHeight="1">
      <c r="A48" s="99" t="s">
        <v>162</v>
      </c>
      <c r="B48" s="100" t="s">
        <v>147</v>
      </c>
      <c r="C48" s="101">
        <v>921.60000000000014</v>
      </c>
      <c r="D48" s="102" t="s">
        <v>94</v>
      </c>
      <c r="E48" s="600"/>
      <c r="F48" s="96"/>
      <c r="G48" s="96"/>
      <c r="H48" s="96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</row>
    <row r="49" spans="1:21" s="98" customFormat="1" ht="21" customHeight="1">
      <c r="A49" s="99" t="s">
        <v>163</v>
      </c>
      <c r="B49" s="100" t="s">
        <v>149</v>
      </c>
      <c r="C49" s="101">
        <v>10.240000000000002</v>
      </c>
      <c r="D49" s="102" t="s">
        <v>142</v>
      </c>
      <c r="E49" s="600"/>
      <c r="F49" s="96"/>
      <c r="G49" s="96"/>
      <c r="H49" s="96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</row>
    <row r="50" spans="1:21" s="98" customFormat="1" ht="21" customHeight="1">
      <c r="A50" s="99" t="s">
        <v>164</v>
      </c>
      <c r="B50" s="100" t="s">
        <v>151</v>
      </c>
      <c r="C50" s="101">
        <v>192</v>
      </c>
      <c r="D50" s="102" t="s">
        <v>152</v>
      </c>
      <c r="E50" s="600"/>
      <c r="F50" s="96"/>
      <c r="G50" s="96"/>
      <c r="H50" s="96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</row>
    <row r="51" spans="1:21" s="98" customFormat="1" ht="21" customHeight="1">
      <c r="A51" s="99" t="s">
        <v>165</v>
      </c>
      <c r="B51" s="103" t="s">
        <v>154</v>
      </c>
      <c r="C51" s="104">
        <v>23.040000000000006</v>
      </c>
      <c r="D51" s="105" t="s">
        <v>145</v>
      </c>
      <c r="E51" s="600"/>
      <c r="F51" s="96"/>
      <c r="G51" s="96"/>
      <c r="H51" s="96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</row>
    <row r="52" spans="1:21" s="98" customFormat="1" ht="21" customHeight="1">
      <c r="A52" s="209">
        <v>2.2999999999999998</v>
      </c>
      <c r="B52" s="598" t="s">
        <v>167</v>
      </c>
      <c r="C52" s="599"/>
      <c r="D52" s="599"/>
      <c r="E52" s="96"/>
      <c r="F52" s="96"/>
      <c r="G52" s="96"/>
      <c r="H52" s="96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</row>
    <row r="53" spans="1:21" s="98" customFormat="1" ht="21" customHeight="1">
      <c r="A53" s="99" t="s">
        <v>160</v>
      </c>
      <c r="B53" s="100" t="s">
        <v>141</v>
      </c>
      <c r="C53" s="106">
        <v>1.5</v>
      </c>
      <c r="D53" s="102" t="s">
        <v>142</v>
      </c>
      <c r="E53" s="600" t="s">
        <v>289</v>
      </c>
      <c r="F53" s="96"/>
      <c r="G53" s="96"/>
      <c r="H53" s="96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</row>
    <row r="54" spans="1:21" s="98" customFormat="1" ht="21" customHeight="1">
      <c r="A54" s="99" t="s">
        <v>161</v>
      </c>
      <c r="B54" s="100" t="s">
        <v>144</v>
      </c>
      <c r="C54" s="101">
        <v>45</v>
      </c>
      <c r="D54" s="102" t="s">
        <v>145</v>
      </c>
      <c r="E54" s="600"/>
      <c r="F54" s="96"/>
      <c r="G54" s="96"/>
      <c r="H54" s="96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</row>
    <row r="55" spans="1:21" s="98" customFormat="1" ht="21" customHeight="1">
      <c r="A55" s="99" t="s">
        <v>162</v>
      </c>
      <c r="B55" s="100" t="s">
        <v>147</v>
      </c>
      <c r="C55" s="101">
        <v>1026</v>
      </c>
      <c r="D55" s="102" t="s">
        <v>94</v>
      </c>
      <c r="E55" s="600"/>
      <c r="F55" s="96"/>
      <c r="G55" s="96"/>
      <c r="H55" s="96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</row>
    <row r="56" spans="1:21" s="98" customFormat="1" ht="21" customHeight="1">
      <c r="A56" s="99" t="s">
        <v>163</v>
      </c>
      <c r="B56" s="100" t="s">
        <v>149</v>
      </c>
      <c r="C56" s="101">
        <v>11.4</v>
      </c>
      <c r="D56" s="102" t="s">
        <v>142</v>
      </c>
      <c r="E56" s="600"/>
      <c r="F56" s="96"/>
      <c r="G56" s="96"/>
      <c r="H56" s="96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</row>
    <row r="57" spans="1:21" s="98" customFormat="1" ht="21" customHeight="1">
      <c r="A57" s="99" t="s">
        <v>164</v>
      </c>
      <c r="B57" s="100" t="s">
        <v>151</v>
      </c>
      <c r="C57" s="101">
        <v>180</v>
      </c>
      <c r="D57" s="102" t="s">
        <v>152</v>
      </c>
      <c r="E57" s="600"/>
      <c r="F57" s="96"/>
      <c r="G57" s="96"/>
      <c r="H57" s="96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</row>
    <row r="58" spans="1:21" s="98" customFormat="1" ht="21" customHeight="1">
      <c r="A58" s="99" t="s">
        <v>165</v>
      </c>
      <c r="B58" s="103" t="s">
        <v>154</v>
      </c>
      <c r="C58" s="105">
        <v>31.5</v>
      </c>
      <c r="D58" s="105" t="s">
        <v>145</v>
      </c>
      <c r="E58" s="600"/>
      <c r="F58" s="96"/>
      <c r="G58" s="96"/>
      <c r="H58" s="96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</row>
    <row r="59" spans="1:21" s="91" customFormat="1" ht="21" customHeight="1">
      <c r="A59" s="107">
        <v>100.3</v>
      </c>
      <c r="B59" s="607" t="s">
        <v>168</v>
      </c>
      <c r="C59" s="608"/>
      <c r="D59" s="608"/>
      <c r="E59" s="92"/>
      <c r="F59" s="92"/>
      <c r="G59" s="92"/>
      <c r="H59" s="92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</row>
    <row r="60" spans="1:21" s="98" customFormat="1" ht="21" customHeight="1">
      <c r="A60" s="209">
        <v>3.1</v>
      </c>
      <c r="B60" s="598" t="s">
        <v>169</v>
      </c>
      <c r="C60" s="599"/>
      <c r="D60" s="599"/>
      <c r="E60" s="96"/>
      <c r="F60" s="96"/>
      <c r="G60" s="96"/>
      <c r="H60" s="96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</row>
    <row r="61" spans="1:21" s="98" customFormat="1" ht="21" customHeight="1">
      <c r="A61" s="99" t="s">
        <v>170</v>
      </c>
      <c r="B61" s="100" t="s">
        <v>141</v>
      </c>
      <c r="C61" s="108">
        <f>+'[2]CALCUL VOLUME'!C63</f>
        <v>45</v>
      </c>
      <c r="D61" s="102" t="s">
        <v>142</v>
      </c>
      <c r="E61" s="600" t="s">
        <v>292</v>
      </c>
      <c r="F61" s="96"/>
      <c r="G61" s="96"/>
      <c r="H61" s="96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</row>
    <row r="62" spans="1:21" s="98" customFormat="1" ht="21" customHeight="1">
      <c r="A62" s="99" t="s">
        <v>171</v>
      </c>
      <c r="B62" s="100" t="s">
        <v>144</v>
      </c>
      <c r="C62" s="108">
        <f>+'[2]CALCUL VOLUME'!C66</f>
        <v>1350</v>
      </c>
      <c r="D62" s="102" t="s">
        <v>145</v>
      </c>
      <c r="E62" s="600"/>
      <c r="F62" s="96"/>
      <c r="G62" s="96"/>
      <c r="H62" s="96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</row>
    <row r="63" spans="1:21" s="98" customFormat="1" ht="21" customHeight="1">
      <c r="A63" s="99" t="s">
        <v>172</v>
      </c>
      <c r="B63" s="100" t="s">
        <v>147</v>
      </c>
      <c r="C63" s="108">
        <f>+'[2]CALCUL VOLUME'!C65</f>
        <v>30780</v>
      </c>
      <c r="D63" s="102" t="s">
        <v>94</v>
      </c>
      <c r="E63" s="600"/>
      <c r="F63" s="96"/>
      <c r="G63" s="96"/>
      <c r="H63" s="96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</row>
    <row r="64" spans="1:21" s="98" customFormat="1" ht="21" customHeight="1">
      <c r="A64" s="99" t="s">
        <v>173</v>
      </c>
      <c r="B64" s="100" t="s">
        <v>149</v>
      </c>
      <c r="C64" s="108">
        <f>+'[2]CALCUL VOLUME'!C64</f>
        <v>342</v>
      </c>
      <c r="D64" s="102" t="s">
        <v>142</v>
      </c>
      <c r="E64" s="600"/>
      <c r="F64" s="96"/>
      <c r="G64" s="96"/>
      <c r="H64" s="96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</row>
    <row r="65" spans="1:21" s="98" customFormat="1" ht="21" customHeight="1">
      <c r="A65" s="99" t="s">
        <v>174</v>
      </c>
      <c r="B65" s="100" t="s">
        <v>151</v>
      </c>
      <c r="C65" s="108">
        <f>+'[2]CALCUL VOLUME'!C72</f>
        <v>5400</v>
      </c>
      <c r="D65" s="102" t="s">
        <v>152</v>
      </c>
      <c r="E65" s="600"/>
      <c r="F65" s="96"/>
      <c r="G65" s="96"/>
      <c r="H65" s="96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</row>
    <row r="66" spans="1:21" s="98" customFormat="1" ht="21" customHeight="1">
      <c r="A66" s="99" t="s">
        <v>175</v>
      </c>
      <c r="B66" s="103" t="s">
        <v>154</v>
      </c>
      <c r="C66" s="109">
        <f>+'[2]CALCUL VOLUME'!C62</f>
        <v>945</v>
      </c>
      <c r="D66" s="105" t="s">
        <v>145</v>
      </c>
      <c r="E66" s="600"/>
      <c r="F66" s="96"/>
      <c r="G66" s="96"/>
      <c r="H66" s="96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</row>
    <row r="67" spans="1:21" s="98" customFormat="1" ht="21" customHeight="1">
      <c r="A67" s="215">
        <v>3.2</v>
      </c>
      <c r="B67" s="111" t="s">
        <v>176</v>
      </c>
      <c r="C67" s="112"/>
      <c r="D67" s="112"/>
      <c r="E67" s="96"/>
      <c r="F67" s="96"/>
      <c r="G67" s="96"/>
      <c r="H67" s="96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</row>
    <row r="68" spans="1:21" s="98" customFormat="1" ht="21" customHeight="1">
      <c r="A68" s="110" t="s">
        <v>170</v>
      </c>
      <c r="B68" s="113" t="s">
        <v>141</v>
      </c>
      <c r="C68" s="108">
        <v>1.2</v>
      </c>
      <c r="D68" s="114" t="s">
        <v>142</v>
      </c>
      <c r="E68" s="600" t="s">
        <v>294</v>
      </c>
      <c r="F68" s="96"/>
      <c r="G68" s="96"/>
      <c r="H68" s="96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</row>
    <row r="69" spans="1:21" s="98" customFormat="1" ht="21" customHeight="1">
      <c r="A69" s="110" t="s">
        <v>171</v>
      </c>
      <c r="B69" s="113" t="s">
        <v>144</v>
      </c>
      <c r="C69" s="108">
        <v>36</v>
      </c>
      <c r="D69" s="114" t="s">
        <v>145</v>
      </c>
      <c r="E69" s="600"/>
      <c r="F69" s="96"/>
      <c r="G69" s="96"/>
      <c r="H69" s="96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</row>
    <row r="70" spans="1:21" s="98" customFormat="1" ht="21" customHeight="1">
      <c r="A70" s="110" t="s">
        <v>172</v>
      </c>
      <c r="B70" s="113" t="s">
        <v>147</v>
      </c>
      <c r="C70" s="108">
        <v>720</v>
      </c>
      <c r="D70" s="114" t="s">
        <v>94</v>
      </c>
      <c r="E70" s="600"/>
      <c r="F70" s="96"/>
      <c r="G70" s="96"/>
      <c r="H70" s="96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</row>
    <row r="71" spans="1:21" s="98" customFormat="1" ht="21" customHeight="1">
      <c r="A71" s="110" t="s">
        <v>173</v>
      </c>
      <c r="B71" s="113" t="s">
        <v>149</v>
      </c>
      <c r="C71" s="108">
        <v>8</v>
      </c>
      <c r="D71" s="114" t="s">
        <v>142</v>
      </c>
      <c r="E71" s="600"/>
      <c r="F71" s="96"/>
      <c r="G71" s="96"/>
      <c r="H71" s="96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</row>
    <row r="72" spans="1:21" s="98" customFormat="1" ht="21" customHeight="1">
      <c r="A72" s="110" t="s">
        <v>174</v>
      </c>
      <c r="B72" s="113" t="s">
        <v>151</v>
      </c>
      <c r="C72" s="108">
        <v>60</v>
      </c>
      <c r="D72" s="114" t="s">
        <v>152</v>
      </c>
      <c r="E72" s="600"/>
      <c r="F72" s="96"/>
      <c r="G72" s="96"/>
      <c r="H72" s="96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</row>
    <row r="73" spans="1:21" s="98" customFormat="1" ht="21" customHeight="1">
      <c r="A73" s="110" t="s">
        <v>175</v>
      </c>
      <c r="B73" s="115" t="s">
        <v>154</v>
      </c>
      <c r="C73" s="109">
        <v>50.399999999999991</v>
      </c>
      <c r="D73" s="109" t="s">
        <v>145</v>
      </c>
      <c r="E73" s="600"/>
      <c r="F73" s="96"/>
      <c r="G73" s="96"/>
      <c r="H73" s="96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</row>
    <row r="74" spans="1:21" s="91" customFormat="1" ht="21" customHeight="1">
      <c r="A74" s="215">
        <v>3.3</v>
      </c>
      <c r="B74" s="598" t="s">
        <v>177</v>
      </c>
      <c r="C74" s="599"/>
      <c r="D74" s="599"/>
      <c r="E74" s="92"/>
      <c r="F74" s="92"/>
      <c r="G74" s="92"/>
      <c r="H74" s="92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</row>
    <row r="75" spans="1:21" s="91" customFormat="1" ht="21" customHeight="1">
      <c r="A75" s="110" t="s">
        <v>170</v>
      </c>
      <c r="B75" s="113" t="s">
        <v>141</v>
      </c>
      <c r="C75" s="108">
        <v>23.400000000000002</v>
      </c>
      <c r="D75" s="114" t="s">
        <v>142</v>
      </c>
      <c r="E75" s="612" t="s">
        <v>293</v>
      </c>
      <c r="F75" s="92"/>
      <c r="G75" s="92"/>
      <c r="H75" s="92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</row>
    <row r="76" spans="1:21" s="91" customFormat="1" ht="21" customHeight="1">
      <c r="A76" s="110" t="s">
        <v>171</v>
      </c>
      <c r="B76" s="113" t="s">
        <v>144</v>
      </c>
      <c r="C76" s="108">
        <v>757.23990673495086</v>
      </c>
      <c r="D76" s="114" t="s">
        <v>145</v>
      </c>
      <c r="E76" s="612"/>
      <c r="F76" s="92"/>
      <c r="G76" s="92"/>
      <c r="H76" s="92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</row>
    <row r="77" spans="1:21" s="91" customFormat="1" ht="21" customHeight="1">
      <c r="A77" s="110" t="s">
        <v>172</v>
      </c>
      <c r="B77" s="113" t="s">
        <v>147</v>
      </c>
      <c r="C77" s="108">
        <v>15502.318321229119</v>
      </c>
      <c r="D77" s="114" t="s">
        <v>94</v>
      </c>
      <c r="E77" s="612"/>
      <c r="F77" s="92"/>
      <c r="G77" s="92"/>
      <c r="H77" s="92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</row>
    <row r="78" spans="1:21" s="91" customFormat="1" ht="21" customHeight="1">
      <c r="A78" s="110" t="s">
        <v>173</v>
      </c>
      <c r="B78" s="113" t="s">
        <v>149</v>
      </c>
      <c r="C78" s="108">
        <v>172.2479813469902</v>
      </c>
      <c r="D78" s="114" t="s">
        <v>142</v>
      </c>
      <c r="E78" s="612"/>
      <c r="F78" s="92"/>
      <c r="G78" s="92"/>
      <c r="H78" s="92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</row>
    <row r="79" spans="1:21" s="91" customFormat="1" ht="21" customHeight="1">
      <c r="A79" s="110" t="s">
        <v>174</v>
      </c>
      <c r="B79" s="113" t="s">
        <v>151</v>
      </c>
      <c r="C79" s="108">
        <v>1560</v>
      </c>
      <c r="D79" s="114" t="s">
        <v>152</v>
      </c>
      <c r="E79" s="612"/>
      <c r="F79" s="92"/>
      <c r="G79" s="92"/>
      <c r="H79" s="92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</row>
    <row r="80" spans="1:21" s="91" customFormat="1" ht="21" customHeight="1">
      <c r="A80" s="110" t="s">
        <v>175</v>
      </c>
      <c r="B80" s="115" t="s">
        <v>154</v>
      </c>
      <c r="C80" s="116">
        <v>821.91591606145585</v>
      </c>
      <c r="D80" s="109" t="s">
        <v>145</v>
      </c>
      <c r="E80" s="612"/>
      <c r="F80" s="92"/>
      <c r="G80" s="92"/>
      <c r="H80" s="92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</row>
    <row r="81" spans="1:21" s="91" customFormat="1" ht="21" customHeight="1">
      <c r="A81" s="215">
        <v>3.4</v>
      </c>
      <c r="B81" s="609" t="s">
        <v>178</v>
      </c>
      <c r="C81" s="610"/>
      <c r="D81" s="610"/>
      <c r="E81" s="92"/>
      <c r="F81" s="92"/>
      <c r="G81" s="92"/>
      <c r="H81" s="92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</row>
    <row r="82" spans="1:21" s="91" customFormat="1" ht="21" customHeight="1">
      <c r="A82" s="110" t="s">
        <v>170</v>
      </c>
      <c r="B82" s="115" t="s">
        <v>141</v>
      </c>
      <c r="C82" s="109">
        <v>1.8000000000000003</v>
      </c>
      <c r="D82" s="109" t="s">
        <v>65</v>
      </c>
      <c r="E82" s="92"/>
      <c r="F82" s="92"/>
      <c r="G82" s="92"/>
      <c r="H82" s="92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</row>
    <row r="83" spans="1:21" s="91" customFormat="1" ht="21" customHeight="1">
      <c r="A83" s="110" t="s">
        <v>171</v>
      </c>
      <c r="B83" s="115" t="s">
        <v>144</v>
      </c>
      <c r="C83" s="109">
        <v>54</v>
      </c>
      <c r="D83" s="109" t="s">
        <v>179</v>
      </c>
      <c r="E83" s="92"/>
      <c r="F83" s="92"/>
      <c r="G83" s="92"/>
      <c r="H83" s="92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</row>
    <row r="84" spans="1:21" s="91" customFormat="1" ht="21" customHeight="1">
      <c r="A84" s="110" t="s">
        <v>172</v>
      </c>
      <c r="B84" s="115" t="s">
        <v>147</v>
      </c>
      <c r="C84" s="109">
        <v>1058.4000000000001</v>
      </c>
      <c r="D84" s="109" t="s">
        <v>94</v>
      </c>
      <c r="E84" s="92"/>
      <c r="F84" s="92"/>
      <c r="G84" s="92"/>
      <c r="H84" s="92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</row>
    <row r="85" spans="1:21" s="91" customFormat="1" ht="21" customHeight="1">
      <c r="A85" s="110" t="s">
        <v>173</v>
      </c>
      <c r="B85" s="115" t="s">
        <v>149</v>
      </c>
      <c r="C85" s="116">
        <v>11.760000000000002</v>
      </c>
      <c r="D85" s="109" t="s">
        <v>65</v>
      </c>
      <c r="E85" s="92"/>
      <c r="F85" s="92"/>
      <c r="G85" s="92"/>
      <c r="H85" s="92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</row>
    <row r="86" spans="1:21" s="91" customFormat="1" ht="21" customHeight="1">
      <c r="A86" s="110" t="s">
        <v>174</v>
      </c>
      <c r="B86" s="115" t="s">
        <v>151</v>
      </c>
      <c r="C86" s="109">
        <v>72</v>
      </c>
      <c r="D86" s="109" t="s">
        <v>152</v>
      </c>
      <c r="E86" s="92"/>
      <c r="F86" s="92"/>
      <c r="G86" s="92"/>
      <c r="H86" s="92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</row>
    <row r="87" spans="1:21" s="91" customFormat="1" ht="21" customHeight="1">
      <c r="A87" s="110" t="s">
        <v>175</v>
      </c>
      <c r="B87" s="113" t="s">
        <v>154</v>
      </c>
      <c r="C87" s="108">
        <v>91.8</v>
      </c>
      <c r="D87" s="114" t="s">
        <v>179</v>
      </c>
      <c r="E87" s="92"/>
      <c r="F87" s="92"/>
      <c r="G87" s="92"/>
      <c r="H87" s="92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</row>
    <row r="88" spans="1:21" s="91" customFormat="1" ht="21" customHeight="1">
      <c r="A88" s="107">
        <v>100.4</v>
      </c>
      <c r="B88" s="607" t="s">
        <v>180</v>
      </c>
      <c r="C88" s="608"/>
      <c r="D88" s="608"/>
      <c r="E88" s="92"/>
      <c r="F88" s="92"/>
      <c r="G88" s="92"/>
      <c r="H88" s="92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</row>
    <row r="89" spans="1:21" s="98" customFormat="1" ht="21" customHeight="1">
      <c r="A89" s="209">
        <v>4.0999999999999996</v>
      </c>
      <c r="B89" s="598" t="s">
        <v>181</v>
      </c>
      <c r="C89" s="599"/>
      <c r="D89" s="599"/>
      <c r="E89" s="96"/>
      <c r="F89" s="96"/>
      <c r="G89" s="96"/>
      <c r="H89" s="96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</row>
    <row r="90" spans="1:21" s="98" customFormat="1" ht="21" customHeight="1">
      <c r="A90" s="99" t="s">
        <v>182</v>
      </c>
      <c r="B90" s="100" t="s">
        <v>141</v>
      </c>
      <c r="C90" s="108">
        <f>+'[2]CALCUL VOLUME'!F63</f>
        <v>7.75</v>
      </c>
      <c r="D90" s="102" t="s">
        <v>142</v>
      </c>
      <c r="E90" s="600" t="s">
        <v>296</v>
      </c>
      <c r="F90" s="96"/>
      <c r="G90" s="96"/>
      <c r="H90" s="96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</row>
    <row r="91" spans="1:21" s="98" customFormat="1" ht="21" customHeight="1">
      <c r="A91" s="99" t="s">
        <v>183</v>
      </c>
      <c r="B91" s="100" t="s">
        <v>144</v>
      </c>
      <c r="C91" s="108">
        <f>+'[2]CALCUL VOLUME'!F66</f>
        <v>232.5</v>
      </c>
      <c r="D91" s="102" t="s">
        <v>145</v>
      </c>
      <c r="E91" s="600"/>
      <c r="F91" s="96"/>
      <c r="G91" s="96"/>
      <c r="H91" s="96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</row>
    <row r="92" spans="1:21" s="98" customFormat="1" ht="21" customHeight="1">
      <c r="A92" s="99" t="s">
        <v>184</v>
      </c>
      <c r="B92" s="100" t="s">
        <v>147</v>
      </c>
      <c r="C92" s="108">
        <f>+'[2]CALCUL VOLUME'!F65</f>
        <v>5301</v>
      </c>
      <c r="D92" s="102" t="s">
        <v>94</v>
      </c>
      <c r="E92" s="600"/>
      <c r="F92" s="96"/>
      <c r="G92" s="96"/>
      <c r="H92" s="96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</row>
    <row r="93" spans="1:21" s="98" customFormat="1" ht="21" customHeight="1">
      <c r="A93" s="99" t="s">
        <v>185</v>
      </c>
      <c r="B93" s="100" t="s">
        <v>149</v>
      </c>
      <c r="C93" s="108">
        <f>+'[2]CALCUL VOLUME'!F64</f>
        <v>58.9</v>
      </c>
      <c r="D93" s="102" t="s">
        <v>142</v>
      </c>
      <c r="E93" s="600"/>
      <c r="F93" s="96"/>
      <c r="G93" s="96"/>
      <c r="H93" s="96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</row>
    <row r="94" spans="1:21" s="98" customFormat="1" ht="21" customHeight="1">
      <c r="A94" s="99" t="s">
        <v>186</v>
      </c>
      <c r="B94" s="100" t="s">
        <v>151</v>
      </c>
      <c r="C94" s="108">
        <f>+'[2]CALCUL VOLUME'!F72</f>
        <v>930</v>
      </c>
      <c r="D94" s="102" t="s">
        <v>152</v>
      </c>
      <c r="E94" s="600"/>
      <c r="F94" s="96"/>
      <c r="G94" s="96"/>
      <c r="H94" s="96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</row>
    <row r="95" spans="1:21" s="98" customFormat="1" ht="21" customHeight="1">
      <c r="A95" s="99" t="s">
        <v>187</v>
      </c>
      <c r="B95" s="103" t="s">
        <v>154</v>
      </c>
      <c r="C95" s="116">
        <f>+'[2]CALCUL VOLUME'!F62</f>
        <v>162.75</v>
      </c>
      <c r="D95" s="105" t="s">
        <v>145</v>
      </c>
      <c r="E95" s="600"/>
      <c r="F95" s="96"/>
      <c r="G95" s="96"/>
      <c r="H95" s="96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</row>
    <row r="96" spans="1:21" s="98" customFormat="1" ht="21" customHeight="1">
      <c r="A96" s="99"/>
      <c r="B96" s="598" t="s">
        <v>188</v>
      </c>
      <c r="C96" s="599"/>
      <c r="D96" s="599"/>
      <c r="E96" s="96"/>
      <c r="F96" s="96"/>
      <c r="G96" s="96"/>
      <c r="H96" s="96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</row>
    <row r="97" spans="1:21" s="98" customFormat="1" ht="21" customHeight="1">
      <c r="A97" s="99" t="s">
        <v>182</v>
      </c>
      <c r="B97" s="103" t="s">
        <v>141</v>
      </c>
      <c r="C97" s="105">
        <v>6.3</v>
      </c>
      <c r="D97" s="105" t="s">
        <v>65</v>
      </c>
      <c r="E97" s="600" t="s">
        <v>297</v>
      </c>
      <c r="F97" s="96"/>
      <c r="G97" s="96"/>
      <c r="H97" s="96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</row>
    <row r="98" spans="1:21" s="98" customFormat="1" ht="21" customHeight="1">
      <c r="A98" s="99" t="s">
        <v>183</v>
      </c>
      <c r="B98" s="103" t="s">
        <v>144</v>
      </c>
      <c r="C98" s="105">
        <v>113.39999999999999</v>
      </c>
      <c r="D98" s="105" t="s">
        <v>179</v>
      </c>
      <c r="E98" s="600"/>
      <c r="F98" s="96"/>
      <c r="G98" s="96"/>
      <c r="H98" s="96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</row>
    <row r="99" spans="1:21" s="98" customFormat="1" ht="21" customHeight="1">
      <c r="A99" s="99" t="s">
        <v>184</v>
      </c>
      <c r="B99" s="103" t="s">
        <v>147</v>
      </c>
      <c r="C99" s="105">
        <v>2142.0000000000005</v>
      </c>
      <c r="D99" s="105" t="s">
        <v>94</v>
      </c>
      <c r="E99" s="600"/>
      <c r="F99" s="96"/>
      <c r="G99" s="96"/>
      <c r="H99" s="96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</row>
    <row r="100" spans="1:21" s="98" customFormat="1" ht="21" customHeight="1">
      <c r="A100" s="99" t="s">
        <v>185</v>
      </c>
      <c r="B100" s="103" t="s">
        <v>149</v>
      </c>
      <c r="C100" s="105">
        <v>23.800000000000004</v>
      </c>
      <c r="D100" s="105" t="s">
        <v>65</v>
      </c>
      <c r="E100" s="600"/>
      <c r="F100" s="96"/>
      <c r="G100" s="96"/>
      <c r="H100" s="96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</row>
    <row r="101" spans="1:21" s="98" customFormat="1" ht="21" customHeight="1">
      <c r="A101" s="99" t="s">
        <v>186</v>
      </c>
      <c r="B101" s="103" t="s">
        <v>151</v>
      </c>
      <c r="C101" s="105">
        <v>84</v>
      </c>
      <c r="D101" s="105" t="s">
        <v>152</v>
      </c>
      <c r="E101" s="600"/>
      <c r="F101" s="96"/>
      <c r="G101" s="96"/>
      <c r="H101" s="96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</row>
    <row r="102" spans="1:21" s="98" customFormat="1" ht="21" customHeight="1">
      <c r="A102" s="99" t="s">
        <v>187</v>
      </c>
      <c r="B102" s="100" t="s">
        <v>154</v>
      </c>
      <c r="C102" s="101">
        <v>219.23999999999998</v>
      </c>
      <c r="D102" s="101" t="s">
        <v>179</v>
      </c>
      <c r="E102" s="600"/>
      <c r="F102" s="96"/>
      <c r="G102" s="96"/>
      <c r="H102" s="96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</row>
    <row r="103" spans="1:21" s="119" customFormat="1" ht="21" customHeight="1">
      <c r="A103" s="95">
        <v>100.5</v>
      </c>
      <c r="B103" s="607" t="s">
        <v>189</v>
      </c>
      <c r="C103" s="608"/>
      <c r="D103" s="608"/>
      <c r="E103" s="117"/>
      <c r="F103" s="117"/>
      <c r="G103" s="117"/>
      <c r="H103" s="117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</row>
    <row r="104" spans="1:21" s="119" customFormat="1" ht="21" customHeight="1">
      <c r="A104" s="216">
        <v>5.0999999999999996</v>
      </c>
      <c r="B104" s="598" t="s">
        <v>190</v>
      </c>
      <c r="C104" s="599"/>
      <c r="D104" s="599"/>
      <c r="E104" s="117"/>
      <c r="F104" s="117"/>
      <c r="G104" s="117"/>
      <c r="H104" s="117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</row>
    <row r="105" spans="1:21" s="119" customFormat="1" ht="21" customHeight="1">
      <c r="A105" s="99" t="s">
        <v>191</v>
      </c>
      <c r="B105" s="100" t="s">
        <v>141</v>
      </c>
      <c r="C105" s="101">
        <v>70.38000000000001</v>
      </c>
      <c r="D105" s="102" t="s">
        <v>142</v>
      </c>
      <c r="E105" s="613" t="s">
        <v>298</v>
      </c>
      <c r="F105" s="117"/>
      <c r="G105" s="117"/>
      <c r="H105" s="117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</row>
    <row r="106" spans="1:21" s="119" customFormat="1" ht="21" customHeight="1">
      <c r="A106" s="99" t="s">
        <v>192</v>
      </c>
      <c r="B106" s="100" t="s">
        <v>144</v>
      </c>
      <c r="C106" s="101">
        <v>2277.5446425643522</v>
      </c>
      <c r="D106" s="102" t="s">
        <v>145</v>
      </c>
      <c r="E106" s="613"/>
      <c r="F106" s="117"/>
      <c r="G106" s="117"/>
      <c r="H106" s="117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</row>
    <row r="107" spans="1:21" s="119" customFormat="1" ht="21" customHeight="1">
      <c r="A107" s="99" t="s">
        <v>193</v>
      </c>
      <c r="B107" s="100" t="s">
        <v>147</v>
      </c>
      <c r="C107" s="101">
        <v>46626.20356615835</v>
      </c>
      <c r="D107" s="102" t="s">
        <v>94</v>
      </c>
      <c r="E107" s="613"/>
      <c r="F107" s="117"/>
      <c r="G107" s="117"/>
      <c r="H107" s="117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</row>
    <row r="108" spans="1:21" s="119" customFormat="1" ht="21" customHeight="1">
      <c r="A108" s="99" t="s">
        <v>194</v>
      </c>
      <c r="B108" s="100" t="s">
        <v>149</v>
      </c>
      <c r="C108" s="101">
        <v>518.06892851287057</v>
      </c>
      <c r="D108" s="102" t="s">
        <v>142</v>
      </c>
      <c r="E108" s="613"/>
      <c r="F108" s="117"/>
      <c r="G108" s="117"/>
      <c r="H108" s="117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</row>
    <row r="109" spans="1:21" s="119" customFormat="1" ht="21" customHeight="1">
      <c r="A109" s="99" t="s">
        <v>195</v>
      </c>
      <c r="B109" s="100" t="s">
        <v>151</v>
      </c>
      <c r="C109" s="101">
        <v>4692</v>
      </c>
      <c r="D109" s="102" t="s">
        <v>152</v>
      </c>
      <c r="E109" s="613"/>
      <c r="F109" s="117"/>
      <c r="G109" s="117"/>
      <c r="H109" s="117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</row>
    <row r="110" spans="1:21" s="119" customFormat="1" ht="21" customHeight="1">
      <c r="A110" s="99" t="s">
        <v>196</v>
      </c>
      <c r="B110" s="103" t="s">
        <v>154</v>
      </c>
      <c r="C110" s="104">
        <v>2472.0701783079171</v>
      </c>
      <c r="D110" s="105" t="s">
        <v>145</v>
      </c>
      <c r="E110" s="613"/>
      <c r="F110" s="117"/>
      <c r="G110" s="117"/>
      <c r="H110" s="117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</row>
    <row r="111" spans="1:21" s="119" customFormat="1" ht="21" customHeight="1">
      <c r="A111" s="217">
        <v>5.2</v>
      </c>
      <c r="B111" s="598" t="s">
        <v>197</v>
      </c>
      <c r="C111" s="599"/>
      <c r="D111" s="599"/>
      <c r="E111" s="613"/>
      <c r="F111" s="117"/>
      <c r="G111" s="117"/>
      <c r="H111" s="117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</row>
    <row r="112" spans="1:21" s="119" customFormat="1" ht="21" customHeight="1">
      <c r="A112" s="99" t="s">
        <v>191</v>
      </c>
      <c r="B112" s="103" t="s">
        <v>141</v>
      </c>
      <c r="C112" s="104">
        <v>10.92</v>
      </c>
      <c r="D112" s="105" t="s">
        <v>65</v>
      </c>
      <c r="E112" s="613"/>
      <c r="F112" s="117"/>
      <c r="G112" s="117"/>
      <c r="H112" s="117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</row>
    <row r="113" spans="1:21" s="119" customFormat="1" ht="21" customHeight="1">
      <c r="A113" s="99" t="s">
        <v>192</v>
      </c>
      <c r="B113" s="103" t="s">
        <v>144</v>
      </c>
      <c r="C113" s="105">
        <v>159.6</v>
      </c>
      <c r="D113" s="105" t="s">
        <v>179</v>
      </c>
      <c r="E113" s="613"/>
      <c r="F113" s="117"/>
      <c r="G113" s="117"/>
      <c r="H113" s="117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</row>
    <row r="114" spans="1:21" s="119" customFormat="1" ht="21" customHeight="1">
      <c r="A114" s="99" t="s">
        <v>193</v>
      </c>
      <c r="B114" s="103" t="s">
        <v>147</v>
      </c>
      <c r="C114" s="105">
        <v>2973.6</v>
      </c>
      <c r="D114" s="105" t="s">
        <v>94</v>
      </c>
      <c r="E114" s="613"/>
      <c r="F114" s="117"/>
      <c r="G114" s="117"/>
      <c r="H114" s="117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</row>
    <row r="115" spans="1:21" s="119" customFormat="1" ht="21" customHeight="1">
      <c r="A115" s="99" t="s">
        <v>194</v>
      </c>
      <c r="B115" s="103" t="s">
        <v>149</v>
      </c>
      <c r="C115" s="104">
        <v>33.04</v>
      </c>
      <c r="D115" s="105" t="s">
        <v>65</v>
      </c>
      <c r="E115" s="613"/>
      <c r="F115" s="117"/>
      <c r="G115" s="117"/>
      <c r="H115" s="117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</row>
    <row r="116" spans="1:21" s="119" customFormat="1" ht="21" customHeight="1">
      <c r="A116" s="99" t="s">
        <v>195</v>
      </c>
      <c r="B116" s="103" t="s">
        <v>151</v>
      </c>
      <c r="C116" s="105">
        <v>84</v>
      </c>
      <c r="D116" s="105" t="s">
        <v>152</v>
      </c>
      <c r="E116" s="613"/>
      <c r="F116" s="117"/>
      <c r="G116" s="117"/>
      <c r="H116" s="117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</row>
    <row r="117" spans="1:21" s="119" customFormat="1" ht="21" customHeight="1">
      <c r="A117" s="99" t="s">
        <v>196</v>
      </c>
      <c r="B117" s="100" t="s">
        <v>154</v>
      </c>
      <c r="C117" s="101">
        <v>302.40000000000003</v>
      </c>
      <c r="D117" s="101" t="s">
        <v>179</v>
      </c>
      <c r="E117" s="613"/>
      <c r="F117" s="117"/>
      <c r="G117" s="117"/>
      <c r="H117" s="117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</row>
    <row r="118" spans="1:21" s="91" customFormat="1" ht="21" customHeight="1">
      <c r="A118" s="107">
        <v>100.6</v>
      </c>
      <c r="B118" s="607" t="s">
        <v>198</v>
      </c>
      <c r="C118" s="608"/>
      <c r="D118" s="608"/>
      <c r="E118" s="92"/>
      <c r="F118" s="92"/>
      <c r="G118" s="92"/>
      <c r="H118" s="92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</row>
    <row r="119" spans="1:21" s="119" customFormat="1" ht="21" customHeight="1">
      <c r="A119" s="95"/>
      <c r="B119" s="598" t="s">
        <v>199</v>
      </c>
      <c r="C119" s="599"/>
      <c r="D119" s="599"/>
      <c r="E119" s="92"/>
      <c r="F119" s="117"/>
      <c r="G119" s="117"/>
      <c r="H119" s="117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</row>
    <row r="120" spans="1:21" s="119" customFormat="1" ht="21" customHeight="1">
      <c r="A120" s="99" t="s">
        <v>200</v>
      </c>
      <c r="B120" s="100" t="s">
        <v>141</v>
      </c>
      <c r="C120" s="101">
        <v>63.75</v>
      </c>
      <c r="D120" s="102" t="s">
        <v>142</v>
      </c>
      <c r="E120" s="612" t="s">
        <v>286</v>
      </c>
      <c r="F120" s="117"/>
      <c r="G120" s="117"/>
      <c r="H120" s="117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</row>
    <row r="121" spans="1:21" s="119" customFormat="1" ht="21" customHeight="1">
      <c r="A121" s="99" t="s">
        <v>201</v>
      </c>
      <c r="B121" s="100" t="s">
        <v>144</v>
      </c>
      <c r="C121" s="101">
        <v>1402.5</v>
      </c>
      <c r="D121" s="102" t="s">
        <v>145</v>
      </c>
      <c r="E121" s="612"/>
      <c r="F121" s="117"/>
      <c r="G121" s="117"/>
      <c r="H121" s="117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</row>
    <row r="122" spans="1:21" s="119" customFormat="1" ht="21" customHeight="1">
      <c r="A122" s="99" t="s">
        <v>202</v>
      </c>
      <c r="B122" s="100" t="s">
        <v>147</v>
      </c>
      <c r="C122" s="101">
        <v>27081.000000000004</v>
      </c>
      <c r="D122" s="102" t="s">
        <v>94</v>
      </c>
      <c r="E122" s="612"/>
      <c r="F122" s="117"/>
      <c r="G122" s="117"/>
      <c r="H122" s="117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</row>
    <row r="123" spans="1:21" s="119" customFormat="1" ht="21" customHeight="1">
      <c r="A123" s="99" t="s">
        <v>203</v>
      </c>
      <c r="B123" s="100" t="s">
        <v>149</v>
      </c>
      <c r="C123" s="101">
        <v>300.90000000000003</v>
      </c>
      <c r="D123" s="102" t="s">
        <v>142</v>
      </c>
      <c r="E123" s="612"/>
      <c r="F123" s="117"/>
      <c r="G123" s="117"/>
      <c r="H123" s="117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</row>
    <row r="124" spans="1:21" s="119" customFormat="1" ht="21" customHeight="1">
      <c r="A124" s="99" t="s">
        <v>204</v>
      </c>
      <c r="B124" s="100" t="s">
        <v>151</v>
      </c>
      <c r="C124" s="101">
        <v>1530</v>
      </c>
      <c r="D124" s="102" t="s">
        <v>152</v>
      </c>
      <c r="E124" s="612"/>
      <c r="F124" s="117"/>
      <c r="G124" s="117"/>
      <c r="H124" s="117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</row>
    <row r="125" spans="1:21" s="119" customFormat="1" ht="21" customHeight="1">
      <c r="A125" s="99" t="s">
        <v>205</v>
      </c>
      <c r="B125" s="103" t="s">
        <v>154</v>
      </c>
      <c r="C125" s="104">
        <v>2333.2499999999995</v>
      </c>
      <c r="D125" s="105" t="s">
        <v>145</v>
      </c>
      <c r="E125" s="612"/>
      <c r="F125" s="117"/>
      <c r="G125" s="117"/>
      <c r="H125" s="117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</row>
    <row r="126" spans="1:21" s="91" customFormat="1" ht="21" customHeight="1">
      <c r="A126" s="110"/>
      <c r="B126" s="607" t="s">
        <v>206</v>
      </c>
      <c r="C126" s="608"/>
      <c r="D126" s="608"/>
      <c r="E126" s="92"/>
      <c r="F126" s="92"/>
      <c r="G126" s="92"/>
      <c r="H126" s="92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</row>
    <row r="127" spans="1:21" s="91" customFormat="1" ht="21" customHeight="1">
      <c r="A127" s="110"/>
      <c r="B127" s="598" t="s">
        <v>188</v>
      </c>
      <c r="C127" s="599"/>
      <c r="D127" s="599"/>
      <c r="E127" s="92"/>
      <c r="F127" s="92"/>
      <c r="G127" s="92"/>
      <c r="H127" s="92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</row>
    <row r="128" spans="1:21" s="91" customFormat="1" ht="21" customHeight="1">
      <c r="A128" s="110" t="s">
        <v>207</v>
      </c>
      <c r="B128" s="115" t="s">
        <v>141</v>
      </c>
      <c r="C128" s="109">
        <v>6.3</v>
      </c>
      <c r="D128" s="109" t="s">
        <v>65</v>
      </c>
      <c r="E128" s="92"/>
      <c r="F128" s="92"/>
      <c r="G128" s="92"/>
      <c r="H128" s="92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</row>
    <row r="129" spans="1:21" s="91" customFormat="1" ht="21" customHeight="1">
      <c r="A129" s="110" t="s">
        <v>208</v>
      </c>
      <c r="B129" s="115" t="s">
        <v>144</v>
      </c>
      <c r="C129" s="109">
        <v>113.39999999999999</v>
      </c>
      <c r="D129" s="109" t="s">
        <v>179</v>
      </c>
      <c r="E129" s="92"/>
      <c r="F129" s="92"/>
      <c r="G129" s="92"/>
      <c r="H129" s="92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</row>
    <row r="130" spans="1:21" s="91" customFormat="1" ht="21" customHeight="1">
      <c r="A130" s="110" t="s">
        <v>209</v>
      </c>
      <c r="B130" s="115" t="s">
        <v>147</v>
      </c>
      <c r="C130" s="109">
        <v>2142.0000000000005</v>
      </c>
      <c r="D130" s="109" t="s">
        <v>94</v>
      </c>
      <c r="E130" s="92"/>
      <c r="F130" s="92"/>
      <c r="G130" s="92"/>
      <c r="H130" s="92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</row>
    <row r="131" spans="1:21" s="91" customFormat="1" ht="21" customHeight="1">
      <c r="A131" s="110" t="s">
        <v>210</v>
      </c>
      <c r="B131" s="115" t="s">
        <v>149</v>
      </c>
      <c r="C131" s="109">
        <v>23.800000000000004</v>
      </c>
      <c r="D131" s="109" t="s">
        <v>65</v>
      </c>
      <c r="E131" s="92"/>
      <c r="F131" s="92"/>
      <c r="G131" s="92"/>
      <c r="H131" s="92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</row>
    <row r="132" spans="1:21" s="91" customFormat="1" ht="21" customHeight="1">
      <c r="A132" s="110" t="s">
        <v>211</v>
      </c>
      <c r="B132" s="115" t="s">
        <v>151</v>
      </c>
      <c r="C132" s="109">
        <v>84</v>
      </c>
      <c r="D132" s="109" t="s">
        <v>152</v>
      </c>
      <c r="E132" s="92"/>
      <c r="F132" s="92"/>
      <c r="G132" s="92"/>
      <c r="H132" s="92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</row>
    <row r="133" spans="1:21" s="91" customFormat="1" ht="21" customHeight="1">
      <c r="A133" s="91" t="s">
        <v>212</v>
      </c>
      <c r="B133" s="113" t="s">
        <v>154</v>
      </c>
      <c r="C133" s="108">
        <v>219.23999999999998</v>
      </c>
      <c r="D133" s="108" t="s">
        <v>179</v>
      </c>
      <c r="E133" s="92"/>
      <c r="F133" s="92"/>
      <c r="G133" s="92"/>
      <c r="H133" s="92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</row>
    <row r="134" spans="1:21" s="91" customFormat="1" ht="21" customHeight="1">
      <c r="E134" s="92"/>
      <c r="F134" s="92"/>
      <c r="G134" s="92"/>
      <c r="H134" s="92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</row>
    <row r="135" spans="1:21" s="91" customFormat="1" ht="21" customHeight="1">
      <c r="E135" s="92"/>
      <c r="F135" s="92"/>
      <c r="G135" s="92"/>
      <c r="H135" s="92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</row>
    <row r="144" spans="1:21" ht="13.2">
      <c r="A144" s="120"/>
      <c r="B144" s="120"/>
      <c r="C144" s="120"/>
      <c r="D144" s="120"/>
    </row>
  </sheetData>
  <mergeCells count="40">
    <mergeCell ref="E120:E125"/>
    <mergeCell ref="E68:E73"/>
    <mergeCell ref="E75:E80"/>
    <mergeCell ref="E90:E95"/>
    <mergeCell ref="E97:E102"/>
    <mergeCell ref="E105:E117"/>
    <mergeCell ref="E24:E29"/>
    <mergeCell ref="E38:E44"/>
    <mergeCell ref="E46:E51"/>
    <mergeCell ref="E53:E58"/>
    <mergeCell ref="E61:E66"/>
    <mergeCell ref="B111:D111"/>
    <mergeCell ref="B118:D118"/>
    <mergeCell ref="B119:D119"/>
    <mergeCell ref="B126:D126"/>
    <mergeCell ref="B127:D127"/>
    <mergeCell ref="B88:D88"/>
    <mergeCell ref="B89:D89"/>
    <mergeCell ref="B96:D96"/>
    <mergeCell ref="B103:D103"/>
    <mergeCell ref="B104:D104"/>
    <mergeCell ref="B52:D52"/>
    <mergeCell ref="B59:D59"/>
    <mergeCell ref="B60:D60"/>
    <mergeCell ref="B74:D74"/>
    <mergeCell ref="B81:D81"/>
    <mergeCell ref="B23:D23"/>
    <mergeCell ref="B30:D30"/>
    <mergeCell ref="B37:D37"/>
    <mergeCell ref="B38:D38"/>
    <mergeCell ref="B45:D45"/>
    <mergeCell ref="B9:D9"/>
    <mergeCell ref="E10:E15"/>
    <mergeCell ref="B16:D16"/>
    <mergeCell ref="E17:E22"/>
    <mergeCell ref="A1:D1"/>
    <mergeCell ref="A2:D4"/>
    <mergeCell ref="A6:D6"/>
    <mergeCell ref="B7:D7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Page de garde</vt:lpstr>
      <vt:lpstr>Nouveau DQE</vt:lpstr>
      <vt:lpstr>etude pxi DV</vt:lpstr>
      <vt:lpstr>DQ ouvrages</vt:lpstr>
      <vt:lpstr>'Nouveau DQE'!Zone_d_impression</vt:lpstr>
      <vt:lpstr>'Page de garde'!Zone_d_impression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Loembe Jerome Thata MOUKAGA</dc:creator>
  <cp:lastModifiedBy>Gabriel-Arnaud ONDO</cp:lastModifiedBy>
  <cp:lastPrinted>2025-10-15T18:49:01Z</cp:lastPrinted>
  <dcterms:created xsi:type="dcterms:W3CDTF">2015-06-05T18:17:00Z</dcterms:created>
  <dcterms:modified xsi:type="dcterms:W3CDTF">2025-10-15T18:52:45Z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5A6C6AA01ACD48A385050E71344C8E1D_13</vt:lpwstr>
  </property>
  <property fmtid="{D5CDD505-2E9C-101B-9397-08002B2CF9AE}" pid="3" name="KSOProductBuildVer">
    <vt:lpwstr>1036-12.2.0.21931</vt:lpwstr>
  </property>
</Properties>
</file>